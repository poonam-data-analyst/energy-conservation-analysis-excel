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ubhi/Documents/Supriya_Docs/IITDDocuments/"/>
    </mc:Choice>
  </mc:AlternateContent>
  <xr:revisionPtr revIDLastSave="0" documentId="13_ncr:1_{76039A41-3C67-434F-B84B-FF77B2988ECD}" xr6:coauthVersionLast="47" xr6:coauthVersionMax="47" xr10:uidLastSave="{00000000-0000-0000-0000-000000000000}"/>
  <bookViews>
    <workbookView xWindow="0" yWindow="0" windowWidth="28800" windowHeight="18000" activeTab="1" xr2:uid="{93ECD9B3-CF83-CC4E-BDE8-B8E7F55C12B2}"/>
  </bookViews>
  <sheets>
    <sheet name="ISM" sheetId="1" r:id="rId1"/>
    <sheet name="DEMATE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F19" i="2"/>
  <c r="G19" i="2"/>
  <c r="H19" i="2"/>
  <c r="I19" i="2"/>
  <c r="J19" i="2"/>
  <c r="K19" i="2"/>
  <c r="L19" i="2"/>
  <c r="M19" i="2"/>
  <c r="N19" i="2"/>
  <c r="O19" i="2"/>
  <c r="F21" i="2" s="1"/>
  <c r="I27" i="2" s="1"/>
  <c r="I61" i="2" s="1"/>
  <c r="D19" i="2"/>
  <c r="P8" i="2"/>
  <c r="P9" i="2"/>
  <c r="P10" i="2"/>
  <c r="P11" i="2"/>
  <c r="P12" i="2"/>
  <c r="P13" i="2"/>
  <c r="P14" i="2"/>
  <c r="P15" i="2"/>
  <c r="P16" i="2"/>
  <c r="P17" i="2"/>
  <c r="P18" i="2"/>
  <c r="P7" i="2"/>
  <c r="C41" i="1" a="1"/>
  <c r="C41" i="1" s="1"/>
  <c r="D41" i="1" a="1"/>
  <c r="D41" i="1" s="1"/>
  <c r="E41" i="1" a="1"/>
  <c r="E41" i="1" s="1"/>
  <c r="F41" i="1" a="1"/>
  <c r="F41" i="1" s="1"/>
  <c r="G41" i="1" a="1"/>
  <c r="G41" i="1" s="1"/>
  <c r="H41" i="1" a="1"/>
  <c r="H41" i="1" s="1"/>
  <c r="I41" i="1" a="1"/>
  <c r="I41" i="1" s="1"/>
  <c r="J41" i="1" a="1"/>
  <c r="J41" i="1" s="1"/>
  <c r="K41" i="1" a="1"/>
  <c r="K41" i="1" s="1"/>
  <c r="L41" i="1" a="1"/>
  <c r="L41" i="1" s="1"/>
  <c r="M41" i="1" a="1"/>
  <c r="M41" i="1" s="1"/>
  <c r="N41" i="1" a="1"/>
  <c r="N41" i="1" s="1"/>
  <c r="C42" i="1" a="1"/>
  <c r="C42" i="1" s="1"/>
  <c r="D42" i="1" a="1"/>
  <c r="D42" i="1" s="1"/>
  <c r="E42" i="1" a="1"/>
  <c r="E42" i="1" s="1"/>
  <c r="F42" i="1" a="1"/>
  <c r="F42" i="1" s="1"/>
  <c r="G42" i="1" a="1"/>
  <c r="G42" i="1" s="1"/>
  <c r="H42" i="1" a="1"/>
  <c r="H42" i="1" s="1"/>
  <c r="I42" i="1" a="1"/>
  <c r="I42" i="1" s="1"/>
  <c r="J42" i="1" a="1"/>
  <c r="J42" i="1" s="1"/>
  <c r="K42" i="1" a="1"/>
  <c r="K42" i="1" s="1"/>
  <c r="L42" i="1" a="1"/>
  <c r="L42" i="1" s="1"/>
  <c r="M42" i="1" a="1"/>
  <c r="M42" i="1" s="1"/>
  <c r="N42" i="1" a="1"/>
  <c r="N42" i="1" s="1"/>
  <c r="C43" i="1" a="1"/>
  <c r="C43" i="1" s="1"/>
  <c r="D43" i="1" a="1"/>
  <c r="D43" i="1" s="1"/>
  <c r="E43" i="1" a="1"/>
  <c r="E43" i="1" s="1"/>
  <c r="F43" i="1" a="1"/>
  <c r="F43" i="1" s="1"/>
  <c r="G43" i="1" a="1"/>
  <c r="G43" i="1" s="1"/>
  <c r="H43" i="1" a="1"/>
  <c r="H43" i="1" s="1"/>
  <c r="I43" i="1" a="1"/>
  <c r="I43" i="1" s="1"/>
  <c r="J43" i="1" a="1"/>
  <c r="J43" i="1" s="1"/>
  <c r="K43" i="1" a="1"/>
  <c r="K43" i="1" s="1"/>
  <c r="L43" i="1" a="1"/>
  <c r="L43" i="1" s="1"/>
  <c r="M43" i="1" a="1"/>
  <c r="M43" i="1" s="1"/>
  <c r="N43" i="1" a="1"/>
  <c r="N43" i="1" s="1"/>
  <c r="C44" i="1" a="1"/>
  <c r="C44" i="1" s="1"/>
  <c r="D44" i="1" a="1"/>
  <c r="D44" i="1" s="1"/>
  <c r="E44" i="1" a="1"/>
  <c r="E44" i="1" s="1"/>
  <c r="F44" i="1" a="1"/>
  <c r="F44" i="1" s="1"/>
  <c r="G44" i="1" a="1"/>
  <c r="G44" i="1" s="1"/>
  <c r="H44" i="1" a="1"/>
  <c r="H44" i="1" s="1"/>
  <c r="I44" i="1" a="1"/>
  <c r="I44" i="1" s="1"/>
  <c r="J44" i="1" a="1"/>
  <c r="J44" i="1" s="1"/>
  <c r="K44" i="1" a="1"/>
  <c r="K44" i="1" s="1"/>
  <c r="L44" i="1" a="1"/>
  <c r="L44" i="1" s="1"/>
  <c r="M44" i="1" a="1"/>
  <c r="M44" i="1" s="1"/>
  <c r="N44" i="1" a="1"/>
  <c r="N44" i="1" s="1"/>
  <c r="C45" i="1" a="1"/>
  <c r="C45" i="1" s="1"/>
  <c r="D45" i="1" a="1"/>
  <c r="D45" i="1" s="1"/>
  <c r="E45" i="1" a="1"/>
  <c r="E45" i="1" s="1"/>
  <c r="F45" i="1" a="1"/>
  <c r="F45" i="1" s="1"/>
  <c r="G45" i="1" a="1"/>
  <c r="G45" i="1" s="1"/>
  <c r="H45" i="1" a="1"/>
  <c r="H45" i="1" s="1"/>
  <c r="I45" i="1" a="1"/>
  <c r="I45" i="1" s="1"/>
  <c r="J45" i="1" a="1"/>
  <c r="J45" i="1" s="1"/>
  <c r="K45" i="1" a="1"/>
  <c r="K45" i="1" s="1"/>
  <c r="L45" i="1" a="1"/>
  <c r="L45" i="1" s="1"/>
  <c r="M45" i="1" a="1"/>
  <c r="M45" i="1" s="1"/>
  <c r="N45" i="1" a="1"/>
  <c r="N45" i="1" s="1"/>
  <c r="C46" i="1" a="1"/>
  <c r="C46" i="1" s="1"/>
  <c r="D46" i="1" a="1"/>
  <c r="D46" i="1" s="1"/>
  <c r="E46" i="1" a="1"/>
  <c r="E46" i="1" s="1"/>
  <c r="F46" i="1" a="1"/>
  <c r="F46" i="1" s="1"/>
  <c r="G46" i="1" a="1"/>
  <c r="G46" i="1" s="1"/>
  <c r="H46" i="1" a="1"/>
  <c r="H46" i="1" s="1"/>
  <c r="I46" i="1" a="1"/>
  <c r="I46" i="1" s="1"/>
  <c r="J46" i="1" a="1"/>
  <c r="J46" i="1" s="1"/>
  <c r="K46" i="1" a="1"/>
  <c r="K46" i="1" s="1"/>
  <c r="L46" i="1" a="1"/>
  <c r="L46" i="1" s="1"/>
  <c r="M46" i="1" a="1"/>
  <c r="M46" i="1" s="1"/>
  <c r="N46" i="1" a="1"/>
  <c r="N46" i="1" s="1"/>
  <c r="C47" i="1" a="1"/>
  <c r="C47" i="1" s="1"/>
  <c r="D47" i="1" a="1"/>
  <c r="D47" i="1" s="1"/>
  <c r="E47" i="1" a="1"/>
  <c r="E47" i="1" s="1"/>
  <c r="F47" i="1" a="1"/>
  <c r="F47" i="1" s="1"/>
  <c r="G47" i="1" a="1"/>
  <c r="G47" i="1" s="1"/>
  <c r="H47" i="1" a="1"/>
  <c r="H47" i="1" s="1"/>
  <c r="I47" i="1" a="1"/>
  <c r="I47" i="1" s="1"/>
  <c r="J47" i="1" a="1"/>
  <c r="J47" i="1" s="1"/>
  <c r="K47" i="1" a="1"/>
  <c r="K47" i="1" s="1"/>
  <c r="L47" i="1" a="1"/>
  <c r="L47" i="1" s="1"/>
  <c r="M47" i="1" a="1"/>
  <c r="M47" i="1" s="1"/>
  <c r="N47" i="1" a="1"/>
  <c r="N47" i="1" s="1"/>
  <c r="C48" i="1" a="1"/>
  <c r="C48" i="1" s="1"/>
  <c r="D48" i="1" a="1"/>
  <c r="D48" i="1" s="1"/>
  <c r="E48" i="1" a="1"/>
  <c r="E48" i="1" s="1"/>
  <c r="F48" i="1" a="1"/>
  <c r="F48" i="1" s="1"/>
  <c r="G48" i="1" a="1"/>
  <c r="G48" i="1" s="1"/>
  <c r="H48" i="1" a="1"/>
  <c r="H48" i="1" s="1"/>
  <c r="I48" i="1" a="1"/>
  <c r="I48" i="1" s="1"/>
  <c r="J48" i="1" a="1"/>
  <c r="J48" i="1" s="1"/>
  <c r="K48" i="1" a="1"/>
  <c r="K48" i="1" s="1"/>
  <c r="L48" i="1" a="1"/>
  <c r="L48" i="1" s="1"/>
  <c r="M48" i="1" a="1"/>
  <c r="M48" i="1" s="1"/>
  <c r="N48" i="1" a="1"/>
  <c r="N48" i="1" s="1"/>
  <c r="C49" i="1" a="1"/>
  <c r="C49" i="1" s="1"/>
  <c r="D49" i="1" a="1"/>
  <c r="D49" i="1" s="1"/>
  <c r="E49" i="1" a="1"/>
  <c r="E49" i="1" s="1"/>
  <c r="F49" i="1" a="1"/>
  <c r="F49" i="1" s="1"/>
  <c r="G49" i="1" a="1"/>
  <c r="G49" i="1" s="1"/>
  <c r="H49" i="1" a="1"/>
  <c r="H49" i="1" s="1"/>
  <c r="I49" i="1" a="1"/>
  <c r="I49" i="1" s="1"/>
  <c r="J49" i="1" a="1"/>
  <c r="J49" i="1" s="1"/>
  <c r="K49" i="1" a="1"/>
  <c r="K49" i="1" s="1"/>
  <c r="L49" i="1" a="1"/>
  <c r="L49" i="1" s="1"/>
  <c r="M49" i="1" a="1"/>
  <c r="M49" i="1" s="1"/>
  <c r="N49" i="1" a="1"/>
  <c r="N49" i="1" s="1"/>
  <c r="C50" i="1" a="1"/>
  <c r="C50" i="1" s="1"/>
  <c r="D50" i="1" a="1"/>
  <c r="D50" i="1" s="1"/>
  <c r="E50" i="1" a="1"/>
  <c r="E50" i="1" s="1"/>
  <c r="F50" i="1" a="1"/>
  <c r="F50" i="1" s="1"/>
  <c r="G50" i="1" a="1"/>
  <c r="G50" i="1" s="1"/>
  <c r="H50" i="1" a="1"/>
  <c r="H50" i="1" s="1"/>
  <c r="I50" i="1" a="1"/>
  <c r="I50" i="1" s="1"/>
  <c r="J50" i="1" a="1"/>
  <c r="J50" i="1" s="1"/>
  <c r="K50" i="1" a="1"/>
  <c r="K50" i="1" s="1"/>
  <c r="L50" i="1" a="1"/>
  <c r="L50" i="1" s="1"/>
  <c r="M50" i="1" a="1"/>
  <c r="M50" i="1" s="1"/>
  <c r="N50" i="1" a="1"/>
  <c r="N50" i="1" s="1"/>
  <c r="C51" i="1" a="1"/>
  <c r="C51" i="1" s="1"/>
  <c r="D51" i="1" a="1"/>
  <c r="D51" i="1" s="1"/>
  <c r="E51" i="1" a="1"/>
  <c r="E51" i="1" s="1"/>
  <c r="F51" i="1" a="1"/>
  <c r="F51" i="1" s="1"/>
  <c r="G51" i="1" a="1"/>
  <c r="G51" i="1" s="1"/>
  <c r="H51" i="1" a="1"/>
  <c r="H51" i="1" s="1"/>
  <c r="I51" i="1" a="1"/>
  <c r="I51" i="1" s="1"/>
  <c r="J51" i="1" a="1"/>
  <c r="J51" i="1" s="1"/>
  <c r="K51" i="1" a="1"/>
  <c r="K51" i="1" s="1"/>
  <c r="L51" i="1" a="1"/>
  <c r="L51" i="1" s="1"/>
  <c r="M51" i="1" a="1"/>
  <c r="M51" i="1" s="1"/>
  <c r="N51" i="1" a="1"/>
  <c r="N51" i="1" s="1"/>
  <c r="D40" i="1" a="1"/>
  <c r="D40" i="1" s="1"/>
  <c r="E40" i="1" a="1"/>
  <c r="E40" i="1" s="1"/>
  <c r="F40" i="1" a="1"/>
  <c r="F40" i="1" s="1"/>
  <c r="G40" i="1" a="1"/>
  <c r="G40" i="1" s="1"/>
  <c r="H40" i="1" a="1"/>
  <c r="H40" i="1" s="1"/>
  <c r="I40" i="1" a="1"/>
  <c r="I40" i="1" s="1"/>
  <c r="J40" i="1" a="1"/>
  <c r="J40" i="1" s="1"/>
  <c r="K40" i="1" a="1"/>
  <c r="K40" i="1" s="1"/>
  <c r="L40" i="1" a="1"/>
  <c r="L40" i="1" s="1"/>
  <c r="M40" i="1" a="1"/>
  <c r="M40" i="1" s="1"/>
  <c r="N40" i="1" a="1"/>
  <c r="N40" i="1" s="1"/>
  <c r="C40" i="1" a="1"/>
  <c r="C40" i="1" s="1"/>
  <c r="O23" i="1"/>
  <c r="O24" i="1"/>
  <c r="O25" i="1"/>
  <c r="O26" i="1"/>
  <c r="O27" i="1"/>
  <c r="O28" i="1"/>
  <c r="O29" i="1"/>
  <c r="O30" i="1"/>
  <c r="O31" i="1"/>
  <c r="O32" i="1"/>
  <c r="O33" i="1"/>
  <c r="O22" i="1"/>
  <c r="D34" i="1"/>
  <c r="E34" i="1"/>
  <c r="F34" i="1"/>
  <c r="G34" i="1"/>
  <c r="H34" i="1"/>
  <c r="I34" i="1"/>
  <c r="J34" i="1"/>
  <c r="K34" i="1"/>
  <c r="L34" i="1"/>
  <c r="M34" i="1"/>
  <c r="N34" i="1"/>
  <c r="C34" i="1"/>
  <c r="O37" i="2" l="1"/>
  <c r="O71" i="2" s="1"/>
  <c r="I37" i="2"/>
  <c r="I71" i="2" s="1"/>
  <c r="L26" i="2"/>
  <c r="L60" i="2" s="1"/>
  <c r="K34" i="2"/>
  <c r="K68" i="2" s="1"/>
  <c r="O33" i="2"/>
  <c r="O67" i="2" s="1"/>
  <c r="F31" i="2"/>
  <c r="F65" i="2" s="1"/>
  <c r="M30" i="2"/>
  <c r="M64" i="2" s="1"/>
  <c r="K26" i="2"/>
  <c r="K60" i="2" s="1"/>
  <c r="G33" i="2"/>
  <c r="G67" i="2" s="1"/>
  <c r="K36" i="2"/>
  <c r="K70" i="2" s="1"/>
  <c r="L30" i="2"/>
  <c r="L64" i="2" s="1"/>
  <c r="O29" i="2"/>
  <c r="O63" i="2" s="1"/>
  <c r="M34" i="2"/>
  <c r="M68" i="2" s="1"/>
  <c r="L34" i="2"/>
  <c r="L68" i="2" s="1"/>
  <c r="G29" i="2"/>
  <c r="G63" i="2" s="1"/>
  <c r="J36" i="2"/>
  <c r="J70" i="2" s="1"/>
  <c r="F33" i="2"/>
  <c r="F67" i="2" s="1"/>
  <c r="K28" i="2"/>
  <c r="K62" i="2" s="1"/>
  <c r="E36" i="2"/>
  <c r="E70" i="2" s="1"/>
  <c r="K32" i="2"/>
  <c r="K66" i="2" s="1"/>
  <c r="J28" i="2"/>
  <c r="J62" i="2" s="1"/>
  <c r="O35" i="2"/>
  <c r="O69" i="2" s="1"/>
  <c r="E32" i="2"/>
  <c r="E66" i="2" s="1"/>
  <c r="D28" i="2"/>
  <c r="D62" i="2" s="1"/>
  <c r="N37" i="2"/>
  <c r="N71" i="2" s="1"/>
  <c r="D36" i="2"/>
  <c r="D70" i="2" s="1"/>
  <c r="J34" i="2"/>
  <c r="J68" i="2" s="1"/>
  <c r="J32" i="2"/>
  <c r="J66" i="2" s="1"/>
  <c r="K30" i="2"/>
  <c r="K64" i="2" s="1"/>
  <c r="E28" i="2"/>
  <c r="E62" i="2" s="1"/>
  <c r="H37" i="2"/>
  <c r="H71" i="2" s="1"/>
  <c r="N35" i="2"/>
  <c r="N69" i="2" s="1"/>
  <c r="N33" i="2"/>
  <c r="N67" i="2" s="1"/>
  <c r="D32" i="2"/>
  <c r="D66" i="2" s="1"/>
  <c r="N29" i="2"/>
  <c r="N63" i="2" s="1"/>
  <c r="O27" i="2"/>
  <c r="O61" i="2" s="1"/>
  <c r="N26" i="2"/>
  <c r="N60" i="2" s="1"/>
  <c r="G37" i="2"/>
  <c r="G71" i="2" s="1"/>
  <c r="G35" i="2"/>
  <c r="G69" i="2" s="1"/>
  <c r="I33" i="2"/>
  <c r="I67" i="2" s="1"/>
  <c r="O31" i="2"/>
  <c r="O65" i="2" s="1"/>
  <c r="I29" i="2"/>
  <c r="I63" i="2" s="1"/>
  <c r="G27" i="2"/>
  <c r="G61" i="2" s="1"/>
  <c r="M26" i="2"/>
  <c r="M60" i="2" s="1"/>
  <c r="F37" i="2"/>
  <c r="F71" i="2" s="1"/>
  <c r="F35" i="2"/>
  <c r="F69" i="2" s="1"/>
  <c r="H33" i="2"/>
  <c r="H67" i="2" s="1"/>
  <c r="G31" i="2"/>
  <c r="G65" i="2" s="1"/>
  <c r="H29" i="2"/>
  <c r="H63" i="2" s="1"/>
  <c r="F27" i="2"/>
  <c r="F61" i="2" s="1"/>
  <c r="N31" i="2"/>
  <c r="N65" i="2" s="1"/>
  <c r="J30" i="2"/>
  <c r="J64" i="2" s="1"/>
  <c r="F29" i="2"/>
  <c r="F63" i="2" s="1"/>
  <c r="N27" i="2"/>
  <c r="N61" i="2" s="1"/>
  <c r="F26" i="2"/>
  <c r="F60" i="2" s="1"/>
  <c r="M36" i="2"/>
  <c r="M70" i="2" s="1"/>
  <c r="I35" i="2"/>
  <c r="I69" i="2" s="1"/>
  <c r="E34" i="2"/>
  <c r="E68" i="2" s="1"/>
  <c r="M32" i="2"/>
  <c r="M66" i="2" s="1"/>
  <c r="I31" i="2"/>
  <c r="I65" i="2" s="1"/>
  <c r="E30" i="2"/>
  <c r="E64" i="2" s="1"/>
  <c r="M28" i="2"/>
  <c r="M62" i="2" s="1"/>
  <c r="J27" i="2"/>
  <c r="J61" i="2" s="1"/>
  <c r="F28" i="2"/>
  <c r="F62" i="2" s="1"/>
  <c r="N28" i="2"/>
  <c r="N62" i="2" s="1"/>
  <c r="J29" i="2"/>
  <c r="J63" i="2" s="1"/>
  <c r="F30" i="2"/>
  <c r="F64" i="2" s="1"/>
  <c r="N30" i="2"/>
  <c r="N64" i="2" s="1"/>
  <c r="J31" i="2"/>
  <c r="J65" i="2" s="1"/>
  <c r="F32" i="2"/>
  <c r="F66" i="2" s="1"/>
  <c r="N32" i="2"/>
  <c r="N66" i="2" s="1"/>
  <c r="J33" i="2"/>
  <c r="J67" i="2" s="1"/>
  <c r="F34" i="2"/>
  <c r="F68" i="2" s="1"/>
  <c r="N34" i="2"/>
  <c r="N68" i="2" s="1"/>
  <c r="J35" i="2"/>
  <c r="J69" i="2" s="1"/>
  <c r="F36" i="2"/>
  <c r="F70" i="2" s="1"/>
  <c r="N36" i="2"/>
  <c r="N70" i="2" s="1"/>
  <c r="J37" i="2"/>
  <c r="J71" i="2" s="1"/>
  <c r="G26" i="2"/>
  <c r="G60" i="2" s="1"/>
  <c r="O26" i="2"/>
  <c r="O60" i="2" s="1"/>
  <c r="K27" i="2"/>
  <c r="K61" i="2" s="1"/>
  <c r="G28" i="2"/>
  <c r="G62" i="2" s="1"/>
  <c r="O28" i="2"/>
  <c r="O62" i="2" s="1"/>
  <c r="K29" i="2"/>
  <c r="K63" i="2" s="1"/>
  <c r="G30" i="2"/>
  <c r="G64" i="2" s="1"/>
  <c r="O30" i="2"/>
  <c r="O64" i="2" s="1"/>
  <c r="K31" i="2"/>
  <c r="K65" i="2" s="1"/>
  <c r="G32" i="2"/>
  <c r="G66" i="2" s="1"/>
  <c r="O32" i="2"/>
  <c r="O66" i="2" s="1"/>
  <c r="K33" i="2"/>
  <c r="K67" i="2" s="1"/>
  <c r="G34" i="2"/>
  <c r="G68" i="2" s="1"/>
  <c r="O34" i="2"/>
  <c r="O68" i="2" s="1"/>
  <c r="K35" i="2"/>
  <c r="K69" i="2" s="1"/>
  <c r="G36" i="2"/>
  <c r="G70" i="2" s="1"/>
  <c r="O36" i="2"/>
  <c r="O70" i="2" s="1"/>
  <c r="K37" i="2"/>
  <c r="K71" i="2" s="1"/>
  <c r="H26" i="2"/>
  <c r="H60" i="2" s="1"/>
  <c r="D26" i="2"/>
  <c r="D27" i="2"/>
  <c r="D61" i="2" s="1"/>
  <c r="L27" i="2"/>
  <c r="L61" i="2" s="1"/>
  <c r="H28" i="2"/>
  <c r="H62" i="2" s="1"/>
  <c r="D29" i="2"/>
  <c r="D63" i="2" s="1"/>
  <c r="L29" i="2"/>
  <c r="L63" i="2" s="1"/>
  <c r="H30" i="2"/>
  <c r="H64" i="2" s="1"/>
  <c r="D31" i="2"/>
  <c r="D65" i="2" s="1"/>
  <c r="L31" i="2"/>
  <c r="L65" i="2" s="1"/>
  <c r="H32" i="2"/>
  <c r="H66" i="2" s="1"/>
  <c r="D33" i="2"/>
  <c r="D67" i="2" s="1"/>
  <c r="L33" i="2"/>
  <c r="L67" i="2" s="1"/>
  <c r="H34" i="2"/>
  <c r="H68" i="2" s="1"/>
  <c r="D35" i="2"/>
  <c r="D69" i="2" s="1"/>
  <c r="L35" i="2"/>
  <c r="L69" i="2" s="1"/>
  <c r="H36" i="2"/>
  <c r="H70" i="2" s="1"/>
  <c r="D37" i="2"/>
  <c r="D71" i="2" s="1"/>
  <c r="L37" i="2"/>
  <c r="L71" i="2" s="1"/>
  <c r="I26" i="2"/>
  <c r="I60" i="2" s="1"/>
  <c r="E27" i="2"/>
  <c r="E61" i="2" s="1"/>
  <c r="M27" i="2"/>
  <c r="M61" i="2" s="1"/>
  <c r="I28" i="2"/>
  <c r="I62" i="2" s="1"/>
  <c r="E29" i="2"/>
  <c r="E63" i="2" s="1"/>
  <c r="M29" i="2"/>
  <c r="M63" i="2" s="1"/>
  <c r="I30" i="2"/>
  <c r="I64" i="2" s="1"/>
  <c r="E31" i="2"/>
  <c r="E65" i="2" s="1"/>
  <c r="M31" i="2"/>
  <c r="M65" i="2" s="1"/>
  <c r="I32" i="2"/>
  <c r="I66" i="2" s="1"/>
  <c r="E33" i="2"/>
  <c r="E67" i="2" s="1"/>
  <c r="M33" i="2"/>
  <c r="M67" i="2" s="1"/>
  <c r="I34" i="2"/>
  <c r="I68" i="2" s="1"/>
  <c r="E35" i="2"/>
  <c r="E69" i="2" s="1"/>
  <c r="M35" i="2"/>
  <c r="M69" i="2" s="1"/>
  <c r="I36" i="2"/>
  <c r="I70" i="2" s="1"/>
  <c r="E37" i="2"/>
  <c r="E71" i="2" s="1"/>
  <c r="M37" i="2"/>
  <c r="M71" i="2" s="1"/>
  <c r="J26" i="2"/>
  <c r="J60" i="2" s="1"/>
  <c r="E26" i="2"/>
  <c r="E60" i="2" s="1"/>
  <c r="L36" i="2"/>
  <c r="L70" i="2" s="1"/>
  <c r="H35" i="2"/>
  <c r="H69" i="2" s="1"/>
  <c r="D34" i="2"/>
  <c r="D68" i="2" s="1"/>
  <c r="L32" i="2"/>
  <c r="L66" i="2" s="1"/>
  <c r="H31" i="2"/>
  <c r="H65" i="2" s="1"/>
  <c r="D30" i="2"/>
  <c r="D64" i="2" s="1"/>
  <c r="L28" i="2"/>
  <c r="L62" i="2" s="1"/>
  <c r="H27" i="2"/>
  <c r="H61" i="2" s="1"/>
  <c r="G52" i="1"/>
  <c r="J52" i="1"/>
  <c r="I52" i="1"/>
  <c r="M52" i="1"/>
  <c r="F52" i="1"/>
  <c r="K52" i="1"/>
  <c r="O44" i="1"/>
  <c r="D52" i="1"/>
  <c r="O49" i="1"/>
  <c r="O50" i="1"/>
  <c r="O47" i="1"/>
  <c r="O40" i="1"/>
  <c r="O48" i="1"/>
  <c r="O45" i="1"/>
  <c r="L52" i="1"/>
  <c r="E52" i="1"/>
  <c r="O51" i="1"/>
  <c r="H52" i="1"/>
  <c r="N52" i="1"/>
  <c r="O46" i="1"/>
  <c r="O43" i="1"/>
  <c r="O42" i="1"/>
  <c r="O41" i="1"/>
  <c r="C52" i="1"/>
  <c r="D60" i="2" l="1"/>
  <c r="D77" i="2" s="1" a="1"/>
  <c r="D77" i="2" s="1"/>
  <c r="D94" i="2" s="1" a="1"/>
  <c r="D94" i="2" l="1"/>
  <c r="E106" i="2"/>
  <c r="M106" i="2"/>
  <c r="P99" i="2"/>
  <c r="F106" i="2"/>
  <c r="N106" i="2"/>
  <c r="P100" i="2"/>
  <c r="G106" i="2"/>
  <c r="O106" i="2"/>
  <c r="P101" i="2"/>
  <c r="H106" i="2"/>
  <c r="P102" i="2"/>
  <c r="P97" i="2"/>
  <c r="K106" i="2"/>
  <c r="P98" i="2"/>
  <c r="P105" i="2"/>
  <c r="I106" i="2"/>
  <c r="P103" i="2"/>
  <c r="J106" i="2"/>
  <c r="P104" i="2"/>
  <c r="L106" i="2"/>
  <c r="P95" i="2"/>
  <c r="P96" i="2"/>
  <c r="R105" i="2" l="1"/>
  <c r="S105" i="2"/>
  <c r="R98" i="2"/>
  <c r="S98" i="2"/>
  <c r="S97" i="2"/>
  <c r="R97" i="2"/>
  <c r="R104" i="2"/>
  <c r="S104" i="2"/>
  <c r="R102" i="2"/>
  <c r="S102" i="2"/>
  <c r="R103" i="2"/>
  <c r="S103" i="2"/>
  <c r="R96" i="2"/>
  <c r="S96" i="2"/>
  <c r="R100" i="2"/>
  <c r="S100" i="2"/>
  <c r="R95" i="2"/>
  <c r="S95" i="2"/>
  <c r="R99" i="2"/>
  <c r="S99" i="2"/>
  <c r="S101" i="2"/>
  <c r="R101" i="2"/>
  <c r="D106" i="2"/>
  <c r="P94" i="2"/>
  <c r="R94" i="2" l="1"/>
  <c r="S9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<sst xmlns="http://schemas.openxmlformats.org/spreadsheetml/2006/main" count="460" uniqueCount="108">
  <si>
    <t>Structural Self Interaction Matrix</t>
  </si>
  <si>
    <t>To Develop energy efficient equipment system</t>
  </si>
  <si>
    <t>To Utilize Energy Effectively</t>
  </si>
  <si>
    <t>To Convert wet to dry process</t>
  </si>
  <si>
    <t>To Have Adequate Supply of Coal</t>
  </si>
  <si>
    <t>To have Adequate Electricity</t>
  </si>
  <si>
    <t>To Install Captive Power</t>
  </si>
  <si>
    <t>To Develop Sound Energy Policy</t>
  </si>
  <si>
    <t>To Train Manpower in Energy Conservation</t>
  </si>
  <si>
    <t>To Increase Capacity Utilization</t>
  </si>
  <si>
    <t>To Apply Computer Instrumentation</t>
  </si>
  <si>
    <t>To Conserve Energy by Waste Management</t>
  </si>
  <si>
    <t>To Improve Quality of Coal</t>
  </si>
  <si>
    <t>V</t>
  </si>
  <si>
    <t>A</t>
  </si>
  <si>
    <t>O</t>
  </si>
  <si>
    <t>X</t>
  </si>
  <si>
    <t>Driver</t>
  </si>
  <si>
    <t>Dependence</t>
  </si>
  <si>
    <t>Rank</t>
  </si>
  <si>
    <t>Final Reachability Matrix</t>
  </si>
  <si>
    <t>Reachability Set (RS)</t>
  </si>
  <si>
    <t>Antecedant Set (AS)</t>
  </si>
  <si>
    <t>Intersection Set (IS)</t>
  </si>
  <si>
    <t>Level</t>
  </si>
  <si>
    <t>1,2,3,5,6,7,8,9,12</t>
  </si>
  <si>
    <t>1,4,10,11</t>
  </si>
  <si>
    <t>2,6,12</t>
  </si>
  <si>
    <t>1,2,3,4,5,6,7,8,9,10,11</t>
  </si>
  <si>
    <t>2,6</t>
  </si>
  <si>
    <t>2,3,5,6,7,8,9,12</t>
  </si>
  <si>
    <t>1,3,5,7,8,9,10,11</t>
  </si>
  <si>
    <t>3,5,7,8,9</t>
  </si>
  <si>
    <t>4,10,11</t>
  </si>
  <si>
    <t>1,2,4,5,6,7,8,9,12</t>
  </si>
  <si>
    <t>1,3,4,5,7,8,10,11</t>
  </si>
  <si>
    <t>1,3,4,7,8,10,11</t>
  </si>
  <si>
    <t>1,3,4,5,7,8,9,10,11</t>
  </si>
  <si>
    <t>1,3,4,5,7,9,10,11</t>
  </si>
  <si>
    <t>10,11</t>
  </si>
  <si>
    <t>1,2,3,4,5,6,7,8,9,10,11,12</t>
  </si>
  <si>
    <t>2,3,5,6,8,9,12</t>
  </si>
  <si>
    <t>3,5,8</t>
  </si>
  <si>
    <t>3,7,8</t>
  </si>
  <si>
    <t>2,3,5,6,7,8,12</t>
  </si>
  <si>
    <t>2,3,6,8,9,12</t>
  </si>
  <si>
    <t>3,9</t>
  </si>
  <si>
    <t>1,2,3,4,5,6,7,8,9,10,12</t>
  </si>
  <si>
    <t>Driving Power.     12</t>
  </si>
  <si>
    <t>Independent</t>
  </si>
  <si>
    <t>Linkage</t>
  </si>
  <si>
    <t>Autonomous</t>
  </si>
  <si>
    <t>Dependent</t>
  </si>
  <si>
    <t>MICMAC Analysis</t>
  </si>
  <si>
    <t>L1</t>
  </si>
  <si>
    <t>L2</t>
  </si>
  <si>
    <t>Level 1</t>
  </si>
  <si>
    <t>1,2,3,5,6,7,8,9</t>
  </si>
  <si>
    <t>2,3,5,6,7,8,9</t>
  </si>
  <si>
    <t>1,2,4,5,6,7,8,9</t>
  </si>
  <si>
    <t>2,3,5,6,8,9</t>
  </si>
  <si>
    <t>2,3,5,6,7,8</t>
  </si>
  <si>
    <t>2,3,6,8,9</t>
  </si>
  <si>
    <t>1,2,3,4,5,6,7,8,9,10</t>
  </si>
  <si>
    <t>Level 2 (remove 12)</t>
  </si>
  <si>
    <t>L3</t>
  </si>
  <si>
    <t>3,5,7,8</t>
  </si>
  <si>
    <t>1,4</t>
  </si>
  <si>
    <t>1,4,10</t>
  </si>
  <si>
    <t>L4</t>
  </si>
  <si>
    <t>Level 3(remove 2,6)</t>
  </si>
  <si>
    <t>Level 4(remove 3,5,7,8,9)</t>
  </si>
  <si>
    <t>1,3,5,7,8,9</t>
  </si>
  <si>
    <t>1,4,5,7,8,9</t>
  </si>
  <si>
    <t>1,3,4,5,7,8,9,10</t>
  </si>
  <si>
    <t>3,5,8,9</t>
  </si>
  <si>
    <t>3,8,9</t>
  </si>
  <si>
    <t>Level 5(remove 1)</t>
  </si>
  <si>
    <t>4,10</t>
  </si>
  <si>
    <t>L5</t>
  </si>
  <si>
    <t>Level 6(remove 4)</t>
  </si>
  <si>
    <t>L6</t>
  </si>
  <si>
    <t>Level 7(remove 10)</t>
  </si>
  <si>
    <t>L7</t>
  </si>
  <si>
    <t>ISM (Interpretive Structural Model)</t>
  </si>
  <si>
    <t>Level1</t>
  </si>
  <si>
    <t>Level2</t>
  </si>
  <si>
    <t>Level 3</t>
  </si>
  <si>
    <t>Level 4</t>
  </si>
  <si>
    <t>Level 5</t>
  </si>
  <si>
    <t>Level 6</t>
  </si>
  <si>
    <t>Level 7</t>
  </si>
  <si>
    <t>DEMATEL (Decision Making Trail and Evaluation Laboratory)</t>
  </si>
  <si>
    <t>Initial Reachability Matrix</t>
  </si>
  <si>
    <t>m=1/31</t>
  </si>
  <si>
    <t>m=</t>
  </si>
  <si>
    <t>Normalized Matrix (N)</t>
  </si>
  <si>
    <t>Identity Matrix (I)</t>
  </si>
  <si>
    <t>I-N</t>
  </si>
  <si>
    <t>(I-N)^-1</t>
  </si>
  <si>
    <t>T=N*(I-N)^-1</t>
  </si>
  <si>
    <t>D</t>
  </si>
  <si>
    <t>R</t>
  </si>
  <si>
    <t>D+R</t>
  </si>
  <si>
    <t>D-R</t>
  </si>
  <si>
    <t>DEMATEL Plotted Results</t>
  </si>
  <si>
    <t>ISM (Interpretive Structure Modelling)</t>
  </si>
  <si>
    <t>Energy Conservation in the Indian Cement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</si>
</sst>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1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i/>
      <sz val="15"/>
      <color rgb="FFFFFFFF"/>
      <name val="Times"/>
    </font>
    <font>
      <b/>
      <i/>
      <sz val="22"/>
      <color rgb="FF0070C0"/>
      <name val="Times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8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0" fillId="2" borderId="0" xfId="0" applyFill="1" applyAlignment="1">
      <alignment horizontal="center" vertical="center"/>
    </xf>
    <xf numFmtId="0" fontId="1" fillId="3" borderId="0" xfId="0" applyFont="1" applyFill="1"/>
    <xf numFmtId="0" fontId="0" fillId="4" borderId="0" xfId="0" applyFont="1" applyFill="1" applyAlignment="1">
      <alignment horizontal="center" vertical="center"/>
    </xf>
    <xf numFmtId="0" fontId="0" fillId="4" borderId="0" xfId="0" applyFill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0" fillId="0" borderId="4" xfId="0" applyBorder="1"/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/>
    </xf>
    <xf numFmtId="0" fontId="4" fillId="0" borderId="0" xfId="0" applyFont="1" applyBorder="1" applyAlignment="1">
      <alignment wrapText="1"/>
    </xf>
    <xf numFmtId="0" fontId="0" fillId="0" borderId="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right"/>
    </xf>
    <xf numFmtId="0" fontId="4" fillId="0" borderId="7" xfId="0" applyFont="1" applyBorder="1" applyAlignment="1">
      <alignment wrapText="1"/>
    </xf>
    <xf numFmtId="0" fontId="0" fillId="0" borderId="7" xfId="0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" xfId="0" applyBorder="1"/>
    <xf numFmtId="0" fontId="5" fillId="0" borderId="2" xfId="0" applyFont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3" borderId="0" xfId="0" applyFont="1" applyFill="1" applyAlignment="1">
      <alignment horizontal="center" vertical="center"/>
    </xf>
    <xf numFmtId="16" fontId="2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9" fillId="0" borderId="0" xfId="0" applyFont="1"/>
    <xf numFmtId="0" fontId="9" fillId="0" borderId="0" xfId="0" applyFont="1" applyAlignment="1">
      <alignment horizontal="center" wrapText="1"/>
    </xf>
    <xf numFmtId="171" fontId="0" fillId="5" borderId="0" xfId="0" applyNumberFormat="1" applyFill="1" applyAlignment="1">
      <alignment horizontal="center"/>
    </xf>
    <xf numFmtId="171" fontId="10" fillId="5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center" wrapText="1"/>
    </xf>
    <xf numFmtId="0" fontId="0" fillId="5" borderId="0" xfId="0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/>
    <xf numFmtId="171" fontId="0" fillId="0" borderId="0" xfId="0" applyNumberFormat="1" applyBorder="1" applyAlignment="1">
      <alignment horizontal="center"/>
    </xf>
    <xf numFmtId="171" fontId="0" fillId="0" borderId="5" xfId="0" applyNumberFormat="1" applyBorder="1" applyAlignment="1">
      <alignment horizontal="center"/>
    </xf>
    <xf numFmtId="171" fontId="10" fillId="0" borderId="5" xfId="0" applyNumberFormat="1" applyFont="1" applyBorder="1" applyAlignment="1">
      <alignment horizontal="center"/>
    </xf>
    <xf numFmtId="0" fontId="4" fillId="0" borderId="6" xfId="0" applyFont="1" applyBorder="1"/>
    <xf numFmtId="171" fontId="0" fillId="0" borderId="7" xfId="0" applyNumberFormat="1" applyBorder="1" applyAlignment="1">
      <alignment horizontal="center"/>
    </xf>
    <xf numFmtId="171" fontId="10" fillId="0" borderId="8" xfId="0" applyNumberFormat="1" applyFont="1" applyBorder="1" applyAlignment="1">
      <alignment horizontal="center"/>
    </xf>
    <xf numFmtId="0" fontId="11" fillId="0" borderId="0" xfId="0" applyFont="1" applyFill="1" applyBorder="1"/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977272727272732E-2"/>
          <c:y val="0.10158095690969357"/>
          <c:w val="0.86507963493199713"/>
          <c:h val="0.82918280863204707"/>
        </c:manualLayout>
      </c:layout>
      <c:scatterChart>
        <c:scatterStyle val="lineMarker"/>
        <c:varyColors val="0"/>
        <c:ser>
          <c:idx val="0"/>
          <c:order val="0"/>
          <c:tx>
            <c:strRef>
              <c:f>DEMATEL!$D$110</c:f>
              <c:strCache>
                <c:ptCount val="1"/>
                <c:pt idx="0">
                  <c:v>D-R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459C0F8-E5E7-8548-A6C1-0046ED8981A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2B11CB5-1752-974A-BDC0-D7C5A5179518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8CC-E143-B3A4-1064CF25E3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1A00824-C19B-8141-A063-B69AAD34373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ADB9F74-C18B-B448-8D52-FDD7C361738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8CC-E143-B3A4-1064CF25E3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E7DC2D5-BAED-E84D-B793-3B3F10A3D0B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B68F40B-2E5A-DA43-8B1F-AE4FB185052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8CC-E143-B3A4-1064CF25E3F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384421D-C844-9D4C-A7F2-39CC1442D42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BCA3003-5A4F-704F-8493-AE10535CC52D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8CC-E143-B3A4-1064CF25E3F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B599B1D-85EE-B549-81CC-C9CFADE75D6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279CCCA-2C7E-ED4E-B526-9C877FB38F0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8CC-E143-B3A4-1064CF25E3F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66EA1E1-EF5B-7D4A-B700-0CA505646BC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6083FB8-86AF-9C49-954C-B427D22E90E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8CC-E143-B3A4-1064CF25E3F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8116A10-3220-0944-9A32-22AED02AD08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67706F6-77FF-9540-BF15-1D7E4EB1C8F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8CC-E143-B3A4-1064CF25E3F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8CBD78B-F12F-EF49-BA00-C180E841C18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80B3036-0543-2040-9323-8DC5BE62F9E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8CC-E143-B3A4-1064CF25E3F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10C0B30-F6B0-7245-B83A-29B37625D33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3428CAC-ECD9-7144-9FFB-49C937E2C69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8CC-E143-B3A4-1064CF25E3F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E73ACFB-3DE7-124B-97A6-81F8BAA3E84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A72301A-4689-6D44-B65C-F285DCECCE3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8CC-E143-B3A4-1064CF25E3F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63714BF-8AFF-2443-A347-9007AF63120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3B1DF20-BFC6-DE47-8F78-45CB5AB5914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8CC-E143-B3A4-1064CF25E3F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C6E2F03-A250-314A-A5BD-A42A2F38A768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C3C7647B-EAFE-9843-AED2-F9C15EC369F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8CC-E143-B3A4-1064CF25E3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DEMATEL!$C$111:$C$122</c:f>
              <c:numCache>
                <c:formatCode>0.000</c:formatCode>
                <c:ptCount val="12"/>
                <c:pt idx="0">
                  <c:v>1.0013802775963707</c:v>
                </c:pt>
                <c:pt idx="1">
                  <c:v>1.3357750569673734</c:v>
                </c:pt>
                <c:pt idx="2">
                  <c:v>0.62912579983038852</c:v>
                </c:pt>
                <c:pt idx="3">
                  <c:v>0.51713994433932142</c:v>
                </c:pt>
                <c:pt idx="4">
                  <c:v>0.96514728752658741</c:v>
                </c:pt>
                <c:pt idx="5">
                  <c:v>0.79992564343704053</c:v>
                </c:pt>
                <c:pt idx="6">
                  <c:v>0.60308251996794082</c:v>
                </c:pt>
                <c:pt idx="7">
                  <c:v>0.80272948675325395</c:v>
                </c:pt>
                <c:pt idx="8">
                  <c:v>0.58808848104854383</c:v>
                </c:pt>
                <c:pt idx="9">
                  <c:v>1.1570731399450973</c:v>
                </c:pt>
                <c:pt idx="10">
                  <c:v>1.3079983641393405</c:v>
                </c:pt>
                <c:pt idx="11">
                  <c:v>1.3664720270216903</c:v>
                </c:pt>
              </c:numCache>
            </c:numRef>
          </c:xVal>
          <c:yVal>
            <c:numRef>
              <c:f>DEMATEL!$D$111:$D$122</c:f>
              <c:numCache>
                <c:formatCode>0.000</c:formatCode>
                <c:ptCount val="12"/>
                <c:pt idx="0">
                  <c:v>0.51012095773806831</c:v>
                </c:pt>
                <c:pt idx="1">
                  <c:v>-1.0546452422110857</c:v>
                </c:pt>
                <c:pt idx="2">
                  <c:v>0.30492892267186184</c:v>
                </c:pt>
                <c:pt idx="3">
                  <c:v>4.6796552039633565E-2</c:v>
                </c:pt>
                <c:pt idx="4">
                  <c:v>-0.16340111188672446</c:v>
                </c:pt>
                <c:pt idx="5">
                  <c:v>-0.44241351471458407</c:v>
                </c:pt>
                <c:pt idx="6">
                  <c:v>8.098343574448974E-2</c:v>
                </c:pt>
                <c:pt idx="7">
                  <c:v>-0.12554791565552326</c:v>
                </c:pt>
                <c:pt idx="8">
                  <c:v>-6.1873173692108929E-2</c:v>
                </c:pt>
                <c:pt idx="9">
                  <c:v>0.96352475284832317</c:v>
                </c:pt>
                <c:pt idx="10">
                  <c:v>1.3079983641393405</c:v>
                </c:pt>
                <c:pt idx="11">
                  <c:v>-1.3664720270216903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DEMATEL!$B$111:$B$122</c15:f>
                <c15:dlblRangeCache>
                  <c:ptCount val="12"/>
                  <c:pt idx="0">
                    <c:v>To Develop energy efficient equipment system</c:v>
                  </c:pt>
                  <c:pt idx="1">
                    <c:v>To Utilize Energy Effectively</c:v>
                  </c:pt>
                  <c:pt idx="2">
                    <c:v>To Convert wet to dry process</c:v>
                  </c:pt>
                  <c:pt idx="3">
                    <c:v>To Apply Computer Instrumentation</c:v>
                  </c:pt>
                  <c:pt idx="4">
                    <c:v>To Conserve Energy by Waste Management</c:v>
                  </c:pt>
                  <c:pt idx="5">
                    <c:v>To Improve Quality of Coal</c:v>
                  </c:pt>
                  <c:pt idx="6">
                    <c:v>To Have Adequate Supply of Coal</c:v>
                  </c:pt>
                  <c:pt idx="7">
                    <c:v>To have Adequate Electricity</c:v>
                  </c:pt>
                  <c:pt idx="8">
                    <c:v>To Install Captive Power</c:v>
                  </c:pt>
                  <c:pt idx="9">
                    <c:v>To Develop Sound Energy Policy</c:v>
                  </c:pt>
                  <c:pt idx="10">
                    <c:v>To Train Manpower in Energy Conservation</c:v>
                  </c:pt>
                  <c:pt idx="11">
                    <c:v>To Increase Capacity Utilization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8CC-E143-B3A4-1064CF25E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498111"/>
        <c:axId val="1438094303"/>
      </c:scatterChart>
      <c:valAx>
        <c:axId val="143849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094303"/>
        <c:crosses val="autoZero"/>
        <c:crossBetween val="midCat"/>
      </c:valAx>
      <c:valAx>
        <c:axId val="143809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498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812800</xdr:colOff>
      <xdr:row>55</xdr:row>
      <xdr:rowOff>12700</xdr:rowOff>
    </xdr:from>
    <xdr:to>
      <xdr:col>8</xdr:col>
      <xdr:colOff>12700</xdr:colOff>
      <xdr:row>67</xdr:row>
      <xdr:rowOff>12700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3DECB25-EFA0-94EF-D8C0-57426D7086B0}"/>
            </a:ext>
          </a:extLst>
        </xdr:cNvPr>
        <xdr:cNvCxnSpPr/>
      </xdr:nvCxnSpPr>
      <xdr:spPr>
        <a:xfrm flipV="1">
          <a:off x="8737600" y="11188700"/>
          <a:ext cx="25400" cy="24384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2959100</xdr:colOff>
      <xdr:row>60</xdr:row>
      <xdr:rowOff>190500</xdr:rowOff>
    </xdr:from>
    <xdr:to>
      <xdr:col>14</xdr:col>
      <xdr:colOff>0</xdr:colOff>
      <xdr:row>61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60C0E04-623F-777D-9036-FBD1107E77DF}"/>
            </a:ext>
          </a:extLst>
        </xdr:cNvPr>
        <xdr:cNvCxnSpPr/>
      </xdr:nvCxnSpPr>
      <xdr:spPr>
        <a:xfrm flipV="1">
          <a:off x="3784600" y="12382500"/>
          <a:ext cx="9918700" cy="1270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673100</xdr:colOff>
      <xdr:row>87</xdr:row>
      <xdr:rowOff>317500</xdr:rowOff>
    </xdr:from>
    <xdr:to>
      <xdr:col>8</xdr:col>
      <xdr:colOff>215900</xdr:colOff>
      <xdr:row>89</xdr:row>
      <xdr:rowOff>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8884F55D-E75F-894E-DAF0-C7F3CF71777D}"/>
            </a:ext>
          </a:extLst>
        </xdr:cNvPr>
        <xdr:cNvSpPr/>
      </xdr:nvSpPr>
      <xdr:spPr>
        <a:xfrm>
          <a:off x="6121400" y="26009600"/>
          <a:ext cx="2844800" cy="4445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kern="1200"/>
            <a:t>To Increase Capacity Utilization (12)</a:t>
          </a:r>
        </a:p>
      </xdr:txBody>
    </xdr:sp>
    <xdr:clientData/>
  </xdr:twoCellAnchor>
  <xdr:twoCellAnchor>
    <xdr:from>
      <xdr:col>4</xdr:col>
      <xdr:colOff>698500</xdr:colOff>
      <xdr:row>91</xdr:row>
      <xdr:rowOff>177800</xdr:rowOff>
    </xdr:from>
    <xdr:to>
      <xdr:col>8</xdr:col>
      <xdr:colOff>215900</xdr:colOff>
      <xdr:row>94</xdr:row>
      <xdr:rowOff>38100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CB58EAB0-7490-B047-9367-58C4D9BD30C5}"/>
            </a:ext>
          </a:extLst>
        </xdr:cNvPr>
        <xdr:cNvSpPr/>
      </xdr:nvSpPr>
      <xdr:spPr>
        <a:xfrm>
          <a:off x="6146800" y="27520900"/>
          <a:ext cx="2819400" cy="4699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kern="1200"/>
            <a:t>To Utilize Energy Effectively (2)</a:t>
          </a:r>
        </a:p>
      </xdr:txBody>
    </xdr:sp>
    <xdr:clientData/>
  </xdr:twoCellAnchor>
  <xdr:twoCellAnchor>
    <xdr:from>
      <xdr:col>6</xdr:col>
      <xdr:colOff>444500</xdr:colOff>
      <xdr:row>89</xdr:row>
      <xdr:rowOff>0</xdr:rowOff>
    </xdr:from>
    <xdr:to>
      <xdr:col>6</xdr:col>
      <xdr:colOff>457200</xdr:colOff>
      <xdr:row>91</xdr:row>
      <xdr:rowOff>177800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C9C339D-DEA8-A01D-155F-06F606AC8C63}"/>
            </a:ext>
          </a:extLst>
        </xdr:cNvPr>
        <xdr:cNvCxnSpPr>
          <a:stCxn id="10" idx="0"/>
          <a:endCxn id="9" idx="2"/>
        </xdr:cNvCxnSpPr>
      </xdr:nvCxnSpPr>
      <xdr:spPr>
        <a:xfrm flipH="1" flipV="1">
          <a:off x="7543800" y="26454100"/>
          <a:ext cx="12700" cy="5842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215900</xdr:colOff>
      <xdr:row>93</xdr:row>
      <xdr:rowOff>6350</xdr:rowOff>
    </xdr:from>
    <xdr:to>
      <xdr:col>8</xdr:col>
      <xdr:colOff>635000</xdr:colOff>
      <xdr:row>93</xdr:row>
      <xdr:rowOff>19050</xdr:rowOff>
    </xdr:to>
    <xdr:cxnSp macro="">
      <xdr:nvCxnSpPr>
        <xdr:cNvPr id="39" name="Elbow Connector 38">
          <a:extLst>
            <a:ext uri="{FF2B5EF4-FFF2-40B4-BE49-F238E27FC236}">
              <a16:creationId xmlns:a16="http://schemas.microsoft.com/office/drawing/2014/main" id="{CA604653-D328-1BD8-4632-6CFC5B443881}"/>
            </a:ext>
          </a:extLst>
        </xdr:cNvPr>
        <xdr:cNvCxnSpPr>
          <a:cxnSpLocks/>
          <a:stCxn id="10" idx="3"/>
          <a:endCxn id="51" idx="1"/>
        </xdr:cNvCxnSpPr>
      </xdr:nvCxnSpPr>
      <xdr:spPr>
        <a:xfrm>
          <a:off x="8966200" y="27273250"/>
          <a:ext cx="419100" cy="12700"/>
        </a:xfrm>
        <a:prstGeom prst="bentConnector3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96</xdr:row>
      <xdr:rowOff>177800</xdr:rowOff>
    </xdr:from>
    <xdr:to>
      <xdr:col>1</xdr:col>
      <xdr:colOff>2108200</xdr:colOff>
      <xdr:row>99</xdr:row>
      <xdr:rowOff>50800</xdr:rowOff>
    </xdr:to>
    <xdr:sp macro="" textlink="">
      <xdr:nvSpPr>
        <xdr:cNvPr id="41" name="Rounded Rectangle 40">
          <a:extLst>
            <a:ext uri="{FF2B5EF4-FFF2-40B4-BE49-F238E27FC236}">
              <a16:creationId xmlns:a16="http://schemas.microsoft.com/office/drawing/2014/main" id="{04BCE31D-4A90-5A49-B1A7-B465FA5CE1C1}"/>
            </a:ext>
          </a:extLst>
        </xdr:cNvPr>
        <xdr:cNvSpPr/>
      </xdr:nvSpPr>
      <xdr:spPr>
        <a:xfrm>
          <a:off x="381000" y="28054300"/>
          <a:ext cx="2552700" cy="4826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kern="1200"/>
            <a:t>To Convert wet to dry process (3)</a:t>
          </a:r>
        </a:p>
      </xdr:txBody>
    </xdr:sp>
    <xdr:clientData/>
  </xdr:twoCellAnchor>
  <xdr:twoCellAnchor>
    <xdr:from>
      <xdr:col>1</xdr:col>
      <xdr:colOff>2489200</xdr:colOff>
      <xdr:row>96</xdr:row>
      <xdr:rowOff>165100</xdr:rowOff>
    </xdr:from>
    <xdr:to>
      <xdr:col>4</xdr:col>
      <xdr:colOff>419100</xdr:colOff>
      <xdr:row>99</xdr:row>
      <xdr:rowOff>38100</xdr:rowOff>
    </xdr:to>
    <xdr:sp macro="" textlink="">
      <xdr:nvSpPr>
        <xdr:cNvPr id="42" name="Rounded Rectangle 41">
          <a:extLst>
            <a:ext uri="{FF2B5EF4-FFF2-40B4-BE49-F238E27FC236}">
              <a16:creationId xmlns:a16="http://schemas.microsoft.com/office/drawing/2014/main" id="{A884ADE2-2595-3747-A0C0-334E12B11759}"/>
            </a:ext>
          </a:extLst>
        </xdr:cNvPr>
        <xdr:cNvSpPr/>
      </xdr:nvSpPr>
      <xdr:spPr>
        <a:xfrm>
          <a:off x="3314700" y="28041600"/>
          <a:ext cx="2552700" cy="4826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kern="1200"/>
            <a:t>To Conserve Energy by Waste Management (5)</a:t>
          </a:r>
        </a:p>
      </xdr:txBody>
    </xdr:sp>
    <xdr:clientData/>
  </xdr:twoCellAnchor>
  <xdr:twoCellAnchor>
    <xdr:from>
      <xdr:col>12</xdr:col>
      <xdr:colOff>266700</xdr:colOff>
      <xdr:row>96</xdr:row>
      <xdr:rowOff>190500</xdr:rowOff>
    </xdr:from>
    <xdr:to>
      <xdr:col>15</xdr:col>
      <xdr:colOff>660400</xdr:colOff>
      <xdr:row>99</xdr:row>
      <xdr:rowOff>63500</xdr:rowOff>
    </xdr:to>
    <xdr:sp macro="" textlink="">
      <xdr:nvSpPr>
        <xdr:cNvPr id="43" name="Rounded Rectangle 42">
          <a:extLst>
            <a:ext uri="{FF2B5EF4-FFF2-40B4-BE49-F238E27FC236}">
              <a16:creationId xmlns:a16="http://schemas.microsoft.com/office/drawing/2014/main" id="{371AD509-339B-7F48-B8D9-14E89A549D8C}"/>
            </a:ext>
          </a:extLst>
        </xdr:cNvPr>
        <xdr:cNvSpPr/>
      </xdr:nvSpPr>
      <xdr:spPr>
        <a:xfrm>
          <a:off x="12471400" y="28067000"/>
          <a:ext cx="2870200" cy="4826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kern="1200"/>
            <a:t>To Install Captive Power (9)</a:t>
          </a:r>
        </a:p>
      </xdr:txBody>
    </xdr:sp>
    <xdr:clientData/>
  </xdr:twoCellAnchor>
  <xdr:twoCellAnchor>
    <xdr:from>
      <xdr:col>8</xdr:col>
      <xdr:colOff>533400</xdr:colOff>
      <xdr:row>96</xdr:row>
      <xdr:rowOff>190500</xdr:rowOff>
    </xdr:from>
    <xdr:to>
      <xdr:col>11</xdr:col>
      <xdr:colOff>609600</xdr:colOff>
      <xdr:row>99</xdr:row>
      <xdr:rowOff>63500</xdr:rowOff>
    </xdr:to>
    <xdr:sp macro="" textlink="">
      <xdr:nvSpPr>
        <xdr:cNvPr id="44" name="Rounded Rectangle 43">
          <a:extLst>
            <a:ext uri="{FF2B5EF4-FFF2-40B4-BE49-F238E27FC236}">
              <a16:creationId xmlns:a16="http://schemas.microsoft.com/office/drawing/2014/main" id="{119ABE84-BF54-FC46-97C3-10306904B2FC}"/>
            </a:ext>
          </a:extLst>
        </xdr:cNvPr>
        <xdr:cNvSpPr/>
      </xdr:nvSpPr>
      <xdr:spPr>
        <a:xfrm>
          <a:off x="9283700" y="28067000"/>
          <a:ext cx="2705100" cy="4826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kern="1200"/>
            <a:t>To have Adequate Electricity (8)</a:t>
          </a:r>
        </a:p>
      </xdr:txBody>
    </xdr:sp>
    <xdr:clientData/>
  </xdr:twoCellAnchor>
  <xdr:twoCellAnchor>
    <xdr:from>
      <xdr:col>5</xdr:col>
      <xdr:colOff>25400</xdr:colOff>
      <xdr:row>97</xdr:row>
      <xdr:rowOff>0</xdr:rowOff>
    </xdr:from>
    <xdr:to>
      <xdr:col>8</xdr:col>
      <xdr:colOff>101600</xdr:colOff>
      <xdr:row>99</xdr:row>
      <xdr:rowOff>76200</xdr:rowOff>
    </xdr:to>
    <xdr:sp macro="" textlink="">
      <xdr:nvSpPr>
        <xdr:cNvPr id="45" name="Rounded Rectangle 44">
          <a:extLst>
            <a:ext uri="{FF2B5EF4-FFF2-40B4-BE49-F238E27FC236}">
              <a16:creationId xmlns:a16="http://schemas.microsoft.com/office/drawing/2014/main" id="{F5A998C5-23E2-9C47-A6AD-81F3FFA18B8B}"/>
            </a:ext>
          </a:extLst>
        </xdr:cNvPr>
        <xdr:cNvSpPr/>
      </xdr:nvSpPr>
      <xdr:spPr>
        <a:xfrm>
          <a:off x="6299200" y="28562300"/>
          <a:ext cx="2552700" cy="4826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kern="1200"/>
            <a:t>To Have Adequate Supply of Coal (7)</a:t>
          </a:r>
        </a:p>
      </xdr:txBody>
    </xdr:sp>
    <xdr:clientData/>
  </xdr:twoCellAnchor>
  <xdr:twoCellAnchor>
    <xdr:from>
      <xdr:col>6</xdr:col>
      <xdr:colOff>469900</xdr:colOff>
      <xdr:row>94</xdr:row>
      <xdr:rowOff>12700</xdr:rowOff>
    </xdr:from>
    <xdr:to>
      <xdr:col>6</xdr:col>
      <xdr:colOff>476250</xdr:colOff>
      <xdr:row>97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4FD9ACB2-1150-0C45-B7D9-80F3590BAAC5}"/>
            </a:ext>
          </a:extLst>
        </xdr:cNvPr>
        <xdr:cNvCxnSpPr>
          <a:stCxn id="45" idx="0"/>
        </xdr:cNvCxnSpPr>
      </xdr:nvCxnSpPr>
      <xdr:spPr>
        <a:xfrm flipH="1" flipV="1">
          <a:off x="7569200" y="27965400"/>
          <a:ext cx="6350" cy="5969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635000</xdr:colOff>
      <xdr:row>91</xdr:row>
      <xdr:rowOff>190500</xdr:rowOff>
    </xdr:from>
    <xdr:to>
      <xdr:col>12</xdr:col>
      <xdr:colOff>0</xdr:colOff>
      <xdr:row>94</xdr:row>
      <xdr:rowOff>50800</xdr:rowOff>
    </xdr:to>
    <xdr:sp macro="" textlink="">
      <xdr:nvSpPr>
        <xdr:cNvPr id="51" name="Rounded Rectangle 50">
          <a:extLst>
            <a:ext uri="{FF2B5EF4-FFF2-40B4-BE49-F238E27FC236}">
              <a16:creationId xmlns:a16="http://schemas.microsoft.com/office/drawing/2014/main" id="{FE70141B-A08E-9D4D-8F0F-4C1B86E45CFB}"/>
            </a:ext>
          </a:extLst>
        </xdr:cNvPr>
        <xdr:cNvSpPr/>
      </xdr:nvSpPr>
      <xdr:spPr>
        <a:xfrm>
          <a:off x="9385300" y="27051000"/>
          <a:ext cx="2819400" cy="4699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kern="1200"/>
            <a:t>To Improve Quality of Coal (6)</a:t>
          </a:r>
        </a:p>
      </xdr:txBody>
    </xdr:sp>
    <xdr:clientData/>
  </xdr:twoCellAnchor>
  <xdr:twoCellAnchor>
    <xdr:from>
      <xdr:col>1</xdr:col>
      <xdr:colOff>2108200</xdr:colOff>
      <xdr:row>98</xdr:row>
      <xdr:rowOff>0</xdr:rowOff>
    </xdr:from>
    <xdr:to>
      <xdr:col>1</xdr:col>
      <xdr:colOff>2489200</xdr:colOff>
      <xdr:row>98</xdr:row>
      <xdr:rowOff>12700</xdr:rowOff>
    </xdr:to>
    <xdr:cxnSp macro="">
      <xdr:nvCxnSpPr>
        <xdr:cNvPr id="57" name="Elbow Connector 56">
          <a:extLst>
            <a:ext uri="{FF2B5EF4-FFF2-40B4-BE49-F238E27FC236}">
              <a16:creationId xmlns:a16="http://schemas.microsoft.com/office/drawing/2014/main" id="{94B59EF4-97E8-BF9A-8D40-FC1E1B780F42}"/>
            </a:ext>
          </a:extLst>
        </xdr:cNvPr>
        <xdr:cNvCxnSpPr>
          <a:stCxn id="41" idx="3"/>
          <a:endCxn id="42" idx="1"/>
        </xdr:cNvCxnSpPr>
      </xdr:nvCxnSpPr>
      <xdr:spPr>
        <a:xfrm flipV="1">
          <a:off x="2933700" y="28282900"/>
          <a:ext cx="381000" cy="12700"/>
        </a:xfrm>
        <a:prstGeom prst="bentConnector3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98</xdr:row>
      <xdr:rowOff>0</xdr:rowOff>
    </xdr:from>
    <xdr:to>
      <xdr:col>5</xdr:col>
      <xdr:colOff>25400</xdr:colOff>
      <xdr:row>98</xdr:row>
      <xdr:rowOff>38100</xdr:rowOff>
    </xdr:to>
    <xdr:cxnSp macro="">
      <xdr:nvCxnSpPr>
        <xdr:cNvPr id="58" name="Elbow Connector 57">
          <a:extLst>
            <a:ext uri="{FF2B5EF4-FFF2-40B4-BE49-F238E27FC236}">
              <a16:creationId xmlns:a16="http://schemas.microsoft.com/office/drawing/2014/main" id="{A306C41F-BB79-4945-A396-3A47055ED63F}"/>
            </a:ext>
          </a:extLst>
        </xdr:cNvPr>
        <xdr:cNvCxnSpPr>
          <a:stCxn id="42" idx="3"/>
          <a:endCxn id="45" idx="1"/>
        </xdr:cNvCxnSpPr>
      </xdr:nvCxnSpPr>
      <xdr:spPr>
        <a:xfrm>
          <a:off x="5867400" y="28282900"/>
          <a:ext cx="431800" cy="38100"/>
        </a:xfrm>
        <a:prstGeom prst="bentConnector3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101600</xdr:colOff>
      <xdr:row>98</xdr:row>
      <xdr:rowOff>25400</xdr:rowOff>
    </xdr:from>
    <xdr:to>
      <xdr:col>8</xdr:col>
      <xdr:colOff>533400</xdr:colOff>
      <xdr:row>98</xdr:row>
      <xdr:rowOff>38100</xdr:rowOff>
    </xdr:to>
    <xdr:cxnSp macro="">
      <xdr:nvCxnSpPr>
        <xdr:cNvPr id="59" name="Elbow Connector 58">
          <a:extLst>
            <a:ext uri="{FF2B5EF4-FFF2-40B4-BE49-F238E27FC236}">
              <a16:creationId xmlns:a16="http://schemas.microsoft.com/office/drawing/2014/main" id="{6132CD59-32A0-2148-9F9B-98167633A014}"/>
            </a:ext>
          </a:extLst>
        </xdr:cNvPr>
        <xdr:cNvCxnSpPr>
          <a:stCxn id="45" idx="3"/>
          <a:endCxn id="44" idx="1"/>
        </xdr:cNvCxnSpPr>
      </xdr:nvCxnSpPr>
      <xdr:spPr>
        <a:xfrm flipV="1">
          <a:off x="8851900" y="28308300"/>
          <a:ext cx="431800" cy="12700"/>
        </a:xfrm>
        <a:prstGeom prst="bentConnector3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609600</xdr:colOff>
      <xdr:row>98</xdr:row>
      <xdr:rowOff>25400</xdr:rowOff>
    </xdr:from>
    <xdr:to>
      <xdr:col>12</xdr:col>
      <xdr:colOff>266700</xdr:colOff>
      <xdr:row>98</xdr:row>
      <xdr:rowOff>38100</xdr:rowOff>
    </xdr:to>
    <xdr:cxnSp macro="">
      <xdr:nvCxnSpPr>
        <xdr:cNvPr id="62" name="Elbow Connector 61">
          <a:extLst>
            <a:ext uri="{FF2B5EF4-FFF2-40B4-BE49-F238E27FC236}">
              <a16:creationId xmlns:a16="http://schemas.microsoft.com/office/drawing/2014/main" id="{A56C3BA8-1031-F842-A879-22A579F1BFE0}"/>
            </a:ext>
          </a:extLst>
        </xdr:cNvPr>
        <xdr:cNvCxnSpPr>
          <a:stCxn id="44" idx="3"/>
          <a:endCxn id="43" idx="1"/>
        </xdr:cNvCxnSpPr>
      </xdr:nvCxnSpPr>
      <xdr:spPr>
        <a:xfrm>
          <a:off x="11988800" y="28308300"/>
          <a:ext cx="482600" cy="12700"/>
        </a:xfrm>
        <a:prstGeom prst="bentConnector3">
          <a:avLst/>
        </a:prstGeom>
        <a:ln>
          <a:headEnd type="triangle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762000</xdr:colOff>
      <xdr:row>102</xdr:row>
      <xdr:rowOff>12700</xdr:rowOff>
    </xdr:from>
    <xdr:to>
      <xdr:col>8</xdr:col>
      <xdr:colOff>330200</xdr:colOff>
      <xdr:row>104</xdr:row>
      <xdr:rowOff>88900</xdr:rowOff>
    </xdr:to>
    <xdr:sp macro="" textlink="">
      <xdr:nvSpPr>
        <xdr:cNvPr id="64" name="Rounded Rectangle 63">
          <a:extLst>
            <a:ext uri="{FF2B5EF4-FFF2-40B4-BE49-F238E27FC236}">
              <a16:creationId xmlns:a16="http://schemas.microsoft.com/office/drawing/2014/main" id="{65D6F04E-0F3A-0D41-8931-42E4859530CE}"/>
            </a:ext>
          </a:extLst>
        </xdr:cNvPr>
        <xdr:cNvSpPr/>
      </xdr:nvSpPr>
      <xdr:spPr>
        <a:xfrm>
          <a:off x="6210300" y="29108400"/>
          <a:ext cx="2870200" cy="4826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kern="1200"/>
            <a:t>To Develop energy efficient equipment system (1)</a:t>
          </a:r>
        </a:p>
      </xdr:txBody>
    </xdr:sp>
    <xdr:clientData/>
  </xdr:twoCellAnchor>
  <xdr:twoCellAnchor>
    <xdr:from>
      <xdr:col>4</xdr:col>
      <xdr:colOff>762000</xdr:colOff>
      <xdr:row>106</xdr:row>
      <xdr:rowOff>152400</xdr:rowOff>
    </xdr:from>
    <xdr:to>
      <xdr:col>8</xdr:col>
      <xdr:colOff>330200</xdr:colOff>
      <xdr:row>109</xdr:row>
      <xdr:rowOff>25400</xdr:rowOff>
    </xdr:to>
    <xdr:sp macro="" textlink="">
      <xdr:nvSpPr>
        <xdr:cNvPr id="65" name="Rounded Rectangle 64">
          <a:extLst>
            <a:ext uri="{FF2B5EF4-FFF2-40B4-BE49-F238E27FC236}">
              <a16:creationId xmlns:a16="http://schemas.microsoft.com/office/drawing/2014/main" id="{2F44DD13-CDA2-1B4E-8BD8-73FF9D38EC25}"/>
            </a:ext>
          </a:extLst>
        </xdr:cNvPr>
        <xdr:cNvSpPr/>
      </xdr:nvSpPr>
      <xdr:spPr>
        <a:xfrm>
          <a:off x="6210300" y="30060900"/>
          <a:ext cx="2870200" cy="4826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kern="1200"/>
            <a:t>To Apply Computer Instrumentation (4)</a:t>
          </a:r>
        </a:p>
      </xdr:txBody>
    </xdr:sp>
    <xdr:clientData/>
  </xdr:twoCellAnchor>
  <xdr:twoCellAnchor>
    <xdr:from>
      <xdr:col>4</xdr:col>
      <xdr:colOff>762000</xdr:colOff>
      <xdr:row>111</xdr:row>
      <xdr:rowOff>50800</xdr:rowOff>
    </xdr:from>
    <xdr:to>
      <xdr:col>8</xdr:col>
      <xdr:colOff>330200</xdr:colOff>
      <xdr:row>113</xdr:row>
      <xdr:rowOff>127000</xdr:rowOff>
    </xdr:to>
    <xdr:sp macro="" textlink="">
      <xdr:nvSpPr>
        <xdr:cNvPr id="66" name="Rounded Rectangle 65">
          <a:extLst>
            <a:ext uri="{FF2B5EF4-FFF2-40B4-BE49-F238E27FC236}">
              <a16:creationId xmlns:a16="http://schemas.microsoft.com/office/drawing/2014/main" id="{86BFC5B8-5B18-E14A-91FF-BDA04DE01A95}"/>
            </a:ext>
          </a:extLst>
        </xdr:cNvPr>
        <xdr:cNvSpPr/>
      </xdr:nvSpPr>
      <xdr:spPr>
        <a:xfrm>
          <a:off x="6210300" y="30975300"/>
          <a:ext cx="2870200" cy="4826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kern="1200"/>
            <a:t>To Develop Sound Energy Policy (10)</a:t>
          </a:r>
        </a:p>
      </xdr:txBody>
    </xdr:sp>
    <xdr:clientData/>
  </xdr:twoCellAnchor>
  <xdr:twoCellAnchor>
    <xdr:from>
      <xdr:col>4</xdr:col>
      <xdr:colOff>774700</xdr:colOff>
      <xdr:row>116</xdr:row>
      <xdr:rowOff>0</xdr:rowOff>
    </xdr:from>
    <xdr:to>
      <xdr:col>8</xdr:col>
      <xdr:colOff>342900</xdr:colOff>
      <xdr:row>118</xdr:row>
      <xdr:rowOff>76200</xdr:rowOff>
    </xdr:to>
    <xdr:sp macro="" textlink="">
      <xdr:nvSpPr>
        <xdr:cNvPr id="67" name="Rounded Rectangle 66">
          <a:extLst>
            <a:ext uri="{FF2B5EF4-FFF2-40B4-BE49-F238E27FC236}">
              <a16:creationId xmlns:a16="http://schemas.microsoft.com/office/drawing/2014/main" id="{BE3B0BDB-0024-5D4D-BA98-58ABE4ACD1BB}"/>
            </a:ext>
          </a:extLst>
        </xdr:cNvPr>
        <xdr:cNvSpPr/>
      </xdr:nvSpPr>
      <xdr:spPr>
        <a:xfrm>
          <a:off x="6223000" y="31940500"/>
          <a:ext cx="2870200" cy="48260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kern="1200"/>
            <a:t>To Train Manpower in Energy Conservation (11)</a:t>
          </a:r>
        </a:p>
      </xdr:txBody>
    </xdr:sp>
    <xdr:clientData/>
  </xdr:twoCellAnchor>
  <xdr:twoCellAnchor>
    <xdr:from>
      <xdr:col>6</xdr:col>
      <xdr:colOff>469900</xdr:colOff>
      <xdr:row>99</xdr:row>
      <xdr:rowOff>38100</xdr:rowOff>
    </xdr:from>
    <xdr:to>
      <xdr:col>6</xdr:col>
      <xdr:colOff>476250</xdr:colOff>
      <xdr:row>102</xdr:row>
      <xdr:rowOff>25400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5F8399E0-7E2F-8D41-9C25-CFC7DD59E19B}"/>
            </a:ext>
          </a:extLst>
        </xdr:cNvPr>
        <xdr:cNvCxnSpPr/>
      </xdr:nvCxnSpPr>
      <xdr:spPr>
        <a:xfrm flipH="1" flipV="1">
          <a:off x="7569200" y="28524200"/>
          <a:ext cx="6350" cy="5969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546100</xdr:colOff>
      <xdr:row>104</xdr:row>
      <xdr:rowOff>88900</xdr:rowOff>
    </xdr:from>
    <xdr:to>
      <xdr:col>6</xdr:col>
      <xdr:colOff>546100</xdr:colOff>
      <xdr:row>106</xdr:row>
      <xdr:rowOff>152400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487D05AB-CD8C-F447-9FB9-B0A9A6424F30}"/>
            </a:ext>
          </a:extLst>
        </xdr:cNvPr>
        <xdr:cNvCxnSpPr>
          <a:stCxn id="65" idx="0"/>
          <a:endCxn id="64" idx="2"/>
        </xdr:cNvCxnSpPr>
      </xdr:nvCxnSpPr>
      <xdr:spPr>
        <a:xfrm flipV="1">
          <a:off x="7645400" y="29591000"/>
          <a:ext cx="0" cy="4699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546100</xdr:colOff>
      <xdr:row>109</xdr:row>
      <xdr:rowOff>25400</xdr:rowOff>
    </xdr:from>
    <xdr:to>
      <xdr:col>6</xdr:col>
      <xdr:colOff>546100</xdr:colOff>
      <xdr:row>111</xdr:row>
      <xdr:rowOff>50800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AB6D7D29-76BE-624E-A191-5B21BDCF34A0}"/>
            </a:ext>
          </a:extLst>
        </xdr:cNvPr>
        <xdr:cNvCxnSpPr>
          <a:stCxn id="66" idx="0"/>
          <a:endCxn id="65" idx="2"/>
        </xdr:cNvCxnSpPr>
      </xdr:nvCxnSpPr>
      <xdr:spPr>
        <a:xfrm flipV="1">
          <a:off x="7645400" y="30543500"/>
          <a:ext cx="0" cy="4318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558800</xdr:colOff>
      <xdr:row>113</xdr:row>
      <xdr:rowOff>127000</xdr:rowOff>
    </xdr:from>
    <xdr:to>
      <xdr:col>6</xdr:col>
      <xdr:colOff>558800</xdr:colOff>
      <xdr:row>116</xdr:row>
      <xdr:rowOff>0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6ECA5911-361E-CF46-B2AC-A1F101D4632F}"/>
            </a:ext>
          </a:extLst>
        </xdr:cNvPr>
        <xdr:cNvCxnSpPr>
          <a:stCxn id="67" idx="0"/>
        </xdr:cNvCxnSpPr>
      </xdr:nvCxnSpPr>
      <xdr:spPr>
        <a:xfrm flipV="1">
          <a:off x="7658100" y="31457900"/>
          <a:ext cx="0" cy="4826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125</xdr:row>
      <xdr:rowOff>50800</xdr:rowOff>
    </xdr:from>
    <xdr:to>
      <xdr:col>18</xdr:col>
      <xdr:colOff>381000</xdr:colOff>
      <xdr:row>170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2003EE-7A9C-61FE-CD61-1C4872810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D2C2-F3A4-8C47-87D5-BDD0EBB8DB25}">
  <dimension ref="A1:AV120"/>
  <sheetViews>
    <sheetView workbookViewId="0">
      <selection activeCell="C1" sqref="C1:M1"/>
    </sheetView>
  </sheetViews>
  <sheetFormatPr baseColWidth="10" defaultRowHeight="16"/>
  <cols>
    <col min="2" max="2" width="39" customWidth="1"/>
    <col min="9" max="9" width="12.83203125" customWidth="1"/>
    <col min="16" max="16" width="15" customWidth="1"/>
    <col min="23" max="23" width="14.83203125" customWidth="1"/>
    <col min="30" max="30" width="15" customWidth="1"/>
    <col min="37" max="37" width="13.1640625" customWidth="1"/>
    <col min="44" max="44" width="15" customWidth="1"/>
  </cols>
  <sheetData>
    <row r="1" spans="1:14" ht="28">
      <c r="C1" s="72" t="s">
        <v>107</v>
      </c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1:14" ht="19">
      <c r="F2" s="71"/>
    </row>
    <row r="3" spans="1:14" ht="21">
      <c r="B3" s="11" t="s">
        <v>106</v>
      </c>
    </row>
    <row r="5" spans="1:14" ht="19">
      <c r="B5" s="2" t="s">
        <v>0</v>
      </c>
    </row>
    <row r="6" spans="1:14">
      <c r="C6" s="9">
        <v>12</v>
      </c>
      <c r="D6" s="9">
        <v>11</v>
      </c>
      <c r="E6" s="9">
        <v>10</v>
      </c>
      <c r="F6" s="9">
        <v>9</v>
      </c>
      <c r="G6" s="9">
        <v>8</v>
      </c>
      <c r="H6" s="9">
        <v>7</v>
      </c>
      <c r="I6" s="9">
        <v>6</v>
      </c>
      <c r="J6" s="9">
        <v>5</v>
      </c>
      <c r="K6" s="9">
        <v>4</v>
      </c>
      <c r="L6" s="9">
        <v>3</v>
      </c>
      <c r="M6" s="9">
        <v>2</v>
      </c>
      <c r="N6" s="9">
        <v>1</v>
      </c>
    </row>
    <row r="7" spans="1:14">
      <c r="A7" s="1">
        <v>1</v>
      </c>
      <c r="B7" s="20" t="s">
        <v>1</v>
      </c>
      <c r="C7" s="4" t="s">
        <v>13</v>
      </c>
      <c r="D7" s="4" t="s">
        <v>14</v>
      </c>
      <c r="E7" s="4" t="s">
        <v>14</v>
      </c>
      <c r="F7" s="4" t="s">
        <v>13</v>
      </c>
      <c r="G7" s="4" t="s">
        <v>13</v>
      </c>
      <c r="H7" s="4" t="s">
        <v>13</v>
      </c>
      <c r="I7" s="4" t="s">
        <v>13</v>
      </c>
      <c r="J7" s="4" t="s">
        <v>13</v>
      </c>
      <c r="K7" s="4" t="s">
        <v>14</v>
      </c>
      <c r="L7" s="4" t="s">
        <v>15</v>
      </c>
      <c r="M7" s="4" t="s">
        <v>13</v>
      </c>
      <c r="N7" s="4"/>
    </row>
    <row r="8" spans="1:14">
      <c r="A8" s="1">
        <v>2</v>
      </c>
      <c r="B8" s="20" t="s">
        <v>2</v>
      </c>
      <c r="C8" s="4" t="s">
        <v>13</v>
      </c>
      <c r="D8" s="4" t="s">
        <v>14</v>
      </c>
      <c r="E8" s="4" t="s">
        <v>14</v>
      </c>
      <c r="F8" s="4" t="s">
        <v>14</v>
      </c>
      <c r="G8" s="4" t="s">
        <v>14</v>
      </c>
      <c r="H8" s="4" t="s">
        <v>14</v>
      </c>
      <c r="I8" s="4" t="s">
        <v>16</v>
      </c>
      <c r="J8" s="4" t="s">
        <v>14</v>
      </c>
      <c r="K8" s="4" t="s">
        <v>14</v>
      </c>
      <c r="L8" s="4" t="s">
        <v>14</v>
      </c>
      <c r="M8" s="4"/>
      <c r="N8" s="4"/>
    </row>
    <row r="9" spans="1:14">
      <c r="A9" s="1">
        <v>3</v>
      </c>
      <c r="B9" s="20" t="s">
        <v>3</v>
      </c>
      <c r="C9" s="4" t="s">
        <v>13</v>
      </c>
      <c r="D9" s="4" t="s">
        <v>14</v>
      </c>
      <c r="E9" s="4" t="s">
        <v>14</v>
      </c>
      <c r="F9" s="4" t="s">
        <v>15</v>
      </c>
      <c r="G9" s="4" t="s">
        <v>14</v>
      </c>
      <c r="H9" s="4" t="s">
        <v>13</v>
      </c>
      <c r="I9" s="4" t="s">
        <v>15</v>
      </c>
      <c r="J9" s="4" t="s">
        <v>13</v>
      </c>
      <c r="K9" s="4" t="s">
        <v>15</v>
      </c>
      <c r="L9" s="4"/>
      <c r="M9" s="4"/>
      <c r="N9" s="4"/>
    </row>
    <row r="10" spans="1:14">
      <c r="A10" s="1">
        <v>4</v>
      </c>
      <c r="B10" s="20" t="s">
        <v>10</v>
      </c>
      <c r="C10" s="4" t="s">
        <v>13</v>
      </c>
      <c r="D10" s="4" t="s">
        <v>14</v>
      </c>
      <c r="E10" s="4" t="s">
        <v>14</v>
      </c>
      <c r="F10" s="4" t="s">
        <v>15</v>
      </c>
      <c r="G10" s="4" t="s">
        <v>15</v>
      </c>
      <c r="H10" s="4" t="s">
        <v>15</v>
      </c>
      <c r="I10" s="4" t="s">
        <v>13</v>
      </c>
      <c r="J10" s="4" t="s">
        <v>15</v>
      </c>
      <c r="K10" s="4"/>
      <c r="L10" s="4"/>
      <c r="M10" s="4"/>
      <c r="N10" s="4"/>
    </row>
    <row r="11" spans="1:14">
      <c r="A11" s="1">
        <v>5</v>
      </c>
      <c r="B11" s="20" t="s">
        <v>11</v>
      </c>
      <c r="C11" s="4" t="s">
        <v>13</v>
      </c>
      <c r="D11" s="4" t="s">
        <v>14</v>
      </c>
      <c r="E11" s="4" t="s">
        <v>14</v>
      </c>
      <c r="F11" s="4" t="s">
        <v>13</v>
      </c>
      <c r="G11" s="4" t="s">
        <v>13</v>
      </c>
      <c r="H11" s="4" t="s">
        <v>14</v>
      </c>
      <c r="I11" s="4" t="s">
        <v>15</v>
      </c>
      <c r="J11" s="4"/>
      <c r="K11" s="4"/>
      <c r="L11" s="4"/>
      <c r="M11" s="4"/>
      <c r="N11" s="4"/>
    </row>
    <row r="12" spans="1:14">
      <c r="A12" s="1">
        <v>6</v>
      </c>
      <c r="B12" s="20" t="s">
        <v>12</v>
      </c>
      <c r="C12" s="4" t="s">
        <v>13</v>
      </c>
      <c r="D12" s="4" t="s">
        <v>14</v>
      </c>
      <c r="E12" s="4" t="s">
        <v>14</v>
      </c>
      <c r="F12" s="4" t="s">
        <v>15</v>
      </c>
      <c r="G12" s="4" t="s">
        <v>15</v>
      </c>
      <c r="H12" s="4" t="s">
        <v>14</v>
      </c>
      <c r="I12" s="4"/>
      <c r="J12" s="4"/>
      <c r="K12" s="4"/>
      <c r="L12" s="4"/>
      <c r="M12" s="4"/>
      <c r="N12" s="4"/>
    </row>
    <row r="13" spans="1:14">
      <c r="A13" s="1">
        <v>7</v>
      </c>
      <c r="B13" s="20" t="s">
        <v>4</v>
      </c>
      <c r="C13" s="4" t="s">
        <v>13</v>
      </c>
      <c r="D13" s="4" t="s">
        <v>14</v>
      </c>
      <c r="E13" s="4" t="s">
        <v>14</v>
      </c>
      <c r="F13" s="4" t="s">
        <v>13</v>
      </c>
      <c r="G13" s="4" t="s">
        <v>13</v>
      </c>
      <c r="H13" s="4"/>
      <c r="I13" s="4"/>
      <c r="J13" s="4"/>
      <c r="K13" s="4"/>
      <c r="L13" s="4"/>
      <c r="M13" s="4"/>
      <c r="N13" s="4"/>
    </row>
    <row r="14" spans="1:14">
      <c r="A14" s="1">
        <v>8</v>
      </c>
      <c r="B14" s="20" t="s">
        <v>5</v>
      </c>
      <c r="C14" s="4" t="s">
        <v>13</v>
      </c>
      <c r="D14" s="4" t="s">
        <v>14</v>
      </c>
      <c r="E14" s="4" t="s">
        <v>14</v>
      </c>
      <c r="F14" s="4" t="s">
        <v>14</v>
      </c>
      <c r="G14" s="4"/>
      <c r="H14" s="4"/>
      <c r="I14" s="4"/>
      <c r="J14" s="4"/>
      <c r="K14" s="4"/>
      <c r="L14" s="4"/>
      <c r="M14" s="4"/>
      <c r="N14" s="4"/>
    </row>
    <row r="15" spans="1:14">
      <c r="A15" s="1">
        <v>9</v>
      </c>
      <c r="B15" s="20" t="s">
        <v>6</v>
      </c>
      <c r="C15" s="4" t="s">
        <v>13</v>
      </c>
      <c r="D15" s="4" t="s">
        <v>14</v>
      </c>
      <c r="E15" s="4" t="s">
        <v>14</v>
      </c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1">
        <v>10</v>
      </c>
      <c r="B16" s="20" t="s">
        <v>7</v>
      </c>
      <c r="C16" s="4" t="s">
        <v>13</v>
      </c>
      <c r="D16" s="4" t="s">
        <v>14</v>
      </c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9">
      <c r="A17" s="1">
        <v>11</v>
      </c>
      <c r="B17" s="20" t="s">
        <v>8</v>
      </c>
      <c r="C17" s="4" t="s">
        <v>13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9">
      <c r="A18" s="1">
        <v>12</v>
      </c>
      <c r="B18" s="20" t="s">
        <v>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9"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9" ht="21">
      <c r="A20" s="5"/>
      <c r="B20" s="11" t="s">
        <v>93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5"/>
      <c r="B21" s="6"/>
      <c r="C21" s="9">
        <v>1</v>
      </c>
      <c r="D21" s="9">
        <v>2</v>
      </c>
      <c r="E21" s="9">
        <v>3</v>
      </c>
      <c r="F21" s="9">
        <v>4</v>
      </c>
      <c r="G21" s="9">
        <v>5</v>
      </c>
      <c r="H21" s="9">
        <v>6</v>
      </c>
      <c r="I21" s="9">
        <v>7</v>
      </c>
      <c r="J21" s="9">
        <v>8</v>
      </c>
      <c r="K21" s="9">
        <v>9</v>
      </c>
      <c r="L21" s="9">
        <v>10</v>
      </c>
      <c r="M21" s="9">
        <v>11</v>
      </c>
      <c r="N21" s="9">
        <v>12</v>
      </c>
      <c r="O21" s="9" t="s">
        <v>17</v>
      </c>
      <c r="P21" s="5"/>
      <c r="Q21" s="5"/>
      <c r="R21" s="5"/>
      <c r="S21" s="5"/>
    </row>
    <row r="22" spans="1:19">
      <c r="A22" s="5"/>
      <c r="B22" s="8">
        <v>1</v>
      </c>
      <c r="C22" s="23">
        <v>1</v>
      </c>
      <c r="D22" s="23">
        <v>1</v>
      </c>
      <c r="E22" s="23">
        <v>0</v>
      </c>
      <c r="F22" s="23">
        <v>0</v>
      </c>
      <c r="G22" s="23">
        <v>1</v>
      </c>
      <c r="H22" s="23">
        <v>1</v>
      </c>
      <c r="I22" s="23">
        <v>1</v>
      </c>
      <c r="J22" s="23">
        <v>1</v>
      </c>
      <c r="K22" s="23">
        <v>1</v>
      </c>
      <c r="L22" s="23">
        <v>0</v>
      </c>
      <c r="M22" s="23">
        <v>0</v>
      </c>
      <c r="N22" s="23">
        <v>1</v>
      </c>
      <c r="O22" s="7">
        <f>SUM(C22:N22)</f>
        <v>8</v>
      </c>
      <c r="P22" s="5"/>
      <c r="Q22" s="5"/>
      <c r="R22" s="5"/>
      <c r="S22" s="5"/>
    </row>
    <row r="23" spans="1:19">
      <c r="A23" s="5"/>
      <c r="B23" s="8">
        <v>2</v>
      </c>
      <c r="C23" s="23">
        <v>0</v>
      </c>
      <c r="D23" s="23">
        <v>1</v>
      </c>
      <c r="E23" s="23">
        <v>0</v>
      </c>
      <c r="F23" s="23">
        <v>0</v>
      </c>
      <c r="G23" s="23">
        <v>0</v>
      </c>
      <c r="H23" s="23">
        <v>1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1</v>
      </c>
      <c r="O23" s="7">
        <f t="shared" ref="O23:O33" si="0">SUM(C23:N23)</f>
        <v>3</v>
      </c>
      <c r="P23" s="5"/>
      <c r="Q23" s="5"/>
      <c r="R23" s="5"/>
      <c r="S23" s="5"/>
    </row>
    <row r="24" spans="1:19">
      <c r="A24" s="5"/>
      <c r="B24" s="8">
        <v>3</v>
      </c>
      <c r="C24" s="23">
        <v>0</v>
      </c>
      <c r="D24" s="23">
        <v>1</v>
      </c>
      <c r="E24" s="23">
        <v>1</v>
      </c>
      <c r="F24" s="23">
        <v>0</v>
      </c>
      <c r="G24" s="23">
        <v>1</v>
      </c>
      <c r="H24" s="23">
        <v>0</v>
      </c>
      <c r="I24" s="23">
        <v>1</v>
      </c>
      <c r="J24" s="23">
        <v>0</v>
      </c>
      <c r="K24" s="23">
        <v>0</v>
      </c>
      <c r="L24" s="23">
        <v>0</v>
      </c>
      <c r="M24" s="23">
        <v>0</v>
      </c>
      <c r="N24" s="23">
        <v>1</v>
      </c>
      <c r="O24" s="7">
        <f t="shared" si="0"/>
        <v>5</v>
      </c>
      <c r="P24" s="5"/>
      <c r="Q24" s="5"/>
      <c r="R24" s="5"/>
      <c r="S24" s="5"/>
    </row>
    <row r="25" spans="1:19">
      <c r="A25" s="5"/>
      <c r="B25" s="8">
        <v>4</v>
      </c>
      <c r="C25" s="23">
        <v>1</v>
      </c>
      <c r="D25" s="23">
        <v>1</v>
      </c>
      <c r="E25" s="23">
        <v>0</v>
      </c>
      <c r="F25" s="23">
        <v>1</v>
      </c>
      <c r="G25" s="23">
        <v>0</v>
      </c>
      <c r="H25" s="23">
        <v>1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1</v>
      </c>
      <c r="O25" s="7">
        <f t="shared" si="0"/>
        <v>5</v>
      </c>
      <c r="P25" s="5"/>
      <c r="Q25" s="5"/>
      <c r="R25" s="5"/>
      <c r="S25" s="5"/>
    </row>
    <row r="26" spans="1:19">
      <c r="A26" s="5"/>
      <c r="B26" s="8">
        <v>5</v>
      </c>
      <c r="C26" s="23">
        <v>0</v>
      </c>
      <c r="D26" s="23">
        <v>1</v>
      </c>
      <c r="E26" s="23">
        <v>0</v>
      </c>
      <c r="F26" s="23">
        <v>0</v>
      </c>
      <c r="G26" s="23">
        <v>1</v>
      </c>
      <c r="H26" s="23">
        <v>0</v>
      </c>
      <c r="I26" s="23">
        <v>0</v>
      </c>
      <c r="J26" s="23">
        <v>1</v>
      </c>
      <c r="K26" s="23">
        <v>1</v>
      </c>
      <c r="L26" s="23">
        <v>0</v>
      </c>
      <c r="M26" s="23">
        <v>0</v>
      </c>
      <c r="N26" s="23">
        <v>1</v>
      </c>
      <c r="O26" s="7">
        <f t="shared" si="0"/>
        <v>5</v>
      </c>
      <c r="P26" s="5"/>
      <c r="Q26" s="5"/>
      <c r="R26" s="5"/>
      <c r="S26" s="5"/>
    </row>
    <row r="27" spans="1:19">
      <c r="A27" s="5"/>
      <c r="B27" s="8">
        <v>6</v>
      </c>
      <c r="C27" s="23">
        <v>0</v>
      </c>
      <c r="D27" s="23">
        <v>1</v>
      </c>
      <c r="E27" s="23">
        <v>0</v>
      </c>
      <c r="F27" s="23">
        <v>0</v>
      </c>
      <c r="G27" s="23">
        <v>0</v>
      </c>
      <c r="H27" s="23">
        <v>1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1</v>
      </c>
      <c r="O27" s="7">
        <f t="shared" si="0"/>
        <v>3</v>
      </c>
      <c r="P27" s="5"/>
      <c r="Q27" s="5"/>
      <c r="R27" s="5"/>
      <c r="S27" s="5"/>
    </row>
    <row r="28" spans="1:19">
      <c r="A28" s="5"/>
      <c r="B28" s="8">
        <v>7</v>
      </c>
      <c r="C28" s="23">
        <v>0</v>
      </c>
      <c r="D28" s="23">
        <v>1</v>
      </c>
      <c r="E28" s="23">
        <v>0</v>
      </c>
      <c r="F28" s="23">
        <v>0</v>
      </c>
      <c r="G28" s="23">
        <v>1</v>
      </c>
      <c r="H28" s="23">
        <v>1</v>
      </c>
      <c r="I28" s="23">
        <v>1</v>
      </c>
      <c r="J28" s="23">
        <v>1</v>
      </c>
      <c r="K28" s="23">
        <v>1</v>
      </c>
      <c r="L28" s="23">
        <v>0</v>
      </c>
      <c r="M28" s="23">
        <v>0</v>
      </c>
      <c r="N28" s="23">
        <v>1</v>
      </c>
      <c r="O28" s="7">
        <f t="shared" si="0"/>
        <v>7</v>
      </c>
      <c r="P28" s="5"/>
      <c r="Q28" s="5"/>
      <c r="R28" s="5"/>
      <c r="S28" s="5"/>
    </row>
    <row r="29" spans="1:19">
      <c r="A29" s="5"/>
      <c r="B29" s="8">
        <v>8</v>
      </c>
      <c r="C29" s="23">
        <v>0</v>
      </c>
      <c r="D29" s="23">
        <v>1</v>
      </c>
      <c r="E29" s="23">
        <v>1</v>
      </c>
      <c r="F29" s="23">
        <v>0</v>
      </c>
      <c r="G29" s="23">
        <v>0</v>
      </c>
      <c r="H29" s="23">
        <v>0</v>
      </c>
      <c r="I29" s="23">
        <v>0</v>
      </c>
      <c r="J29" s="23">
        <v>1</v>
      </c>
      <c r="K29" s="23">
        <v>0</v>
      </c>
      <c r="L29" s="23">
        <v>0</v>
      </c>
      <c r="M29" s="23">
        <v>0</v>
      </c>
      <c r="N29" s="23">
        <v>1</v>
      </c>
      <c r="O29" s="7">
        <f t="shared" si="0"/>
        <v>4</v>
      </c>
      <c r="P29" s="5"/>
      <c r="Q29" s="5"/>
      <c r="R29" s="5"/>
      <c r="S29" s="5"/>
    </row>
    <row r="30" spans="1:19">
      <c r="A30" s="5"/>
      <c r="B30" s="8">
        <v>9</v>
      </c>
      <c r="C30" s="23">
        <v>0</v>
      </c>
      <c r="D30" s="23">
        <v>1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1</v>
      </c>
      <c r="K30" s="23">
        <v>1</v>
      </c>
      <c r="L30" s="23">
        <v>0</v>
      </c>
      <c r="M30" s="23">
        <v>0</v>
      </c>
      <c r="N30" s="23">
        <v>1</v>
      </c>
      <c r="O30" s="7">
        <f t="shared" si="0"/>
        <v>4</v>
      </c>
      <c r="P30" s="5"/>
      <c r="Q30" s="5"/>
      <c r="R30" s="5"/>
      <c r="S30" s="5"/>
    </row>
    <row r="31" spans="1:19">
      <c r="A31" s="5"/>
      <c r="B31" s="8">
        <v>10</v>
      </c>
      <c r="C31" s="23">
        <v>1</v>
      </c>
      <c r="D31" s="23">
        <v>1</v>
      </c>
      <c r="E31" s="23">
        <v>1</v>
      </c>
      <c r="F31" s="23">
        <v>1</v>
      </c>
      <c r="G31" s="23">
        <v>1</v>
      </c>
      <c r="H31" s="23">
        <v>1</v>
      </c>
      <c r="I31" s="23">
        <v>1</v>
      </c>
      <c r="J31" s="23">
        <v>1</v>
      </c>
      <c r="K31" s="23">
        <v>1</v>
      </c>
      <c r="L31" s="23">
        <v>1</v>
      </c>
      <c r="M31" s="23">
        <v>0</v>
      </c>
      <c r="N31" s="23">
        <v>1</v>
      </c>
      <c r="O31" s="7">
        <f t="shared" si="0"/>
        <v>11</v>
      </c>
      <c r="P31" s="5"/>
      <c r="Q31" s="5"/>
      <c r="R31" s="5"/>
      <c r="S31" s="5"/>
    </row>
    <row r="32" spans="1:19">
      <c r="A32" s="5"/>
      <c r="B32" s="8">
        <v>11</v>
      </c>
      <c r="C32" s="23">
        <v>1</v>
      </c>
      <c r="D32" s="23">
        <v>1</v>
      </c>
      <c r="E32" s="23">
        <v>1</v>
      </c>
      <c r="F32" s="23">
        <v>1</v>
      </c>
      <c r="G32" s="23">
        <v>1</v>
      </c>
      <c r="H32" s="23">
        <v>1</v>
      </c>
      <c r="I32" s="23">
        <v>1</v>
      </c>
      <c r="J32" s="23">
        <v>1</v>
      </c>
      <c r="K32" s="23">
        <v>1</v>
      </c>
      <c r="L32" s="23">
        <v>1</v>
      </c>
      <c r="M32" s="23">
        <v>1</v>
      </c>
      <c r="N32" s="23">
        <v>1</v>
      </c>
      <c r="O32" s="7">
        <f t="shared" si="0"/>
        <v>12</v>
      </c>
      <c r="P32" s="5"/>
      <c r="Q32" s="5"/>
      <c r="R32" s="5"/>
      <c r="S32" s="5"/>
    </row>
    <row r="33" spans="1:19">
      <c r="A33" s="5"/>
      <c r="B33" s="8">
        <v>12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1</v>
      </c>
      <c r="O33" s="7">
        <f t="shared" si="0"/>
        <v>1</v>
      </c>
      <c r="P33" s="5"/>
      <c r="Q33" s="5"/>
      <c r="R33" s="5"/>
      <c r="S33" s="5"/>
    </row>
    <row r="34" spans="1:19">
      <c r="A34" s="5"/>
      <c r="B34" s="9" t="s">
        <v>18</v>
      </c>
      <c r="C34" s="7">
        <f>SUM(C22:C33)</f>
        <v>4</v>
      </c>
      <c r="D34" s="7">
        <f t="shared" ref="D34:N34" si="1">SUM(D22:D33)</f>
        <v>11</v>
      </c>
      <c r="E34" s="7">
        <f t="shared" si="1"/>
        <v>4</v>
      </c>
      <c r="F34" s="7">
        <f t="shared" si="1"/>
        <v>3</v>
      </c>
      <c r="G34" s="7">
        <f t="shared" si="1"/>
        <v>6</v>
      </c>
      <c r="H34" s="7">
        <f t="shared" si="1"/>
        <v>7</v>
      </c>
      <c r="I34" s="7">
        <f t="shared" si="1"/>
        <v>5</v>
      </c>
      <c r="J34" s="7">
        <f t="shared" si="1"/>
        <v>7</v>
      </c>
      <c r="K34" s="7">
        <f t="shared" si="1"/>
        <v>6</v>
      </c>
      <c r="L34" s="7">
        <f t="shared" si="1"/>
        <v>2</v>
      </c>
      <c r="M34" s="7">
        <f t="shared" si="1"/>
        <v>1</v>
      </c>
      <c r="N34" s="7">
        <f t="shared" si="1"/>
        <v>12</v>
      </c>
      <c r="O34" s="7"/>
      <c r="P34" s="5"/>
      <c r="Q34" s="5"/>
      <c r="R34" s="5"/>
      <c r="S34" s="5"/>
    </row>
    <row r="35" spans="1:19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ht="21">
      <c r="A38" s="5"/>
      <c r="B38" s="11" t="s">
        <v>20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>
      <c r="A39" s="5"/>
      <c r="B39" s="6"/>
      <c r="C39" s="9">
        <v>1</v>
      </c>
      <c r="D39" s="9">
        <v>2</v>
      </c>
      <c r="E39" s="9">
        <v>3</v>
      </c>
      <c r="F39" s="9">
        <v>4</v>
      </c>
      <c r="G39" s="9">
        <v>5</v>
      </c>
      <c r="H39" s="9">
        <v>6</v>
      </c>
      <c r="I39" s="9">
        <v>7</v>
      </c>
      <c r="J39" s="9">
        <v>8</v>
      </c>
      <c r="K39" s="9">
        <v>9</v>
      </c>
      <c r="L39" s="9">
        <v>10</v>
      </c>
      <c r="M39" s="9">
        <v>11</v>
      </c>
      <c r="N39" s="9">
        <v>12</v>
      </c>
      <c r="O39" s="9" t="s">
        <v>17</v>
      </c>
      <c r="P39" s="9" t="s">
        <v>19</v>
      </c>
      <c r="Q39" s="9"/>
    </row>
    <row r="40" spans="1:19">
      <c r="B40" s="8">
        <v>1</v>
      </c>
      <c r="C40" s="23" cm="1">
        <f t="array" ref="C40">MAX($C22:$N22*TRANSPOSE(C$22:C$33))</f>
        <v>1</v>
      </c>
      <c r="D40" s="23" cm="1">
        <f t="array" ref="D40">MAX($C22:$N22*TRANSPOSE(D$22:D$33))</f>
        <v>1</v>
      </c>
      <c r="E40" s="23" cm="1">
        <f t="array" ref="E40">MAX($C22:$N22*TRANSPOSE(E$22:E$33))</f>
        <v>1</v>
      </c>
      <c r="F40" s="23" cm="1">
        <f t="array" ref="F40">MAX($C22:$N22*TRANSPOSE(F$22:F$33))</f>
        <v>0</v>
      </c>
      <c r="G40" s="23" cm="1">
        <f t="array" ref="G40">MAX($C22:$N22*TRANSPOSE(G$22:G$33))</f>
        <v>1</v>
      </c>
      <c r="H40" s="23" cm="1">
        <f t="array" ref="H40">MAX($C22:$N22*TRANSPOSE(H$22:H$33))</f>
        <v>1</v>
      </c>
      <c r="I40" s="23" cm="1">
        <f t="array" ref="I40">MAX($C22:$N22*TRANSPOSE(I$22:I$33))</f>
        <v>1</v>
      </c>
      <c r="J40" s="23" cm="1">
        <f t="array" ref="J40">MAX($C22:$N22*TRANSPOSE(J$22:J$33))</f>
        <v>1</v>
      </c>
      <c r="K40" s="23" cm="1">
        <f t="array" ref="K40">MAX($C22:$N22*TRANSPOSE(K$22:K$33))</f>
        <v>1</v>
      </c>
      <c r="L40" s="23" cm="1">
        <f t="array" ref="L40">MAX($C22:$N22*TRANSPOSE(L$22:L$33))</f>
        <v>0</v>
      </c>
      <c r="M40" s="23" cm="1">
        <f t="array" ref="M40">MAX($C22:$N22*TRANSPOSE(M$22:M$33))</f>
        <v>0</v>
      </c>
      <c r="N40" s="23" cm="1">
        <f t="array" ref="N40">MAX($C22:$N22*TRANSPOSE(N$22:N$33))</f>
        <v>1</v>
      </c>
      <c r="O40" s="9">
        <f>SUM(C40:N40)</f>
        <v>9</v>
      </c>
      <c r="P40" s="9">
        <v>3</v>
      </c>
      <c r="Q40" s="4"/>
    </row>
    <row r="41" spans="1:19">
      <c r="B41" s="8">
        <v>2</v>
      </c>
      <c r="C41" s="23" cm="1">
        <f t="array" ref="C41">MAX($C23:$N23*TRANSPOSE(C$22:C$33))</f>
        <v>0</v>
      </c>
      <c r="D41" s="23" cm="1">
        <f t="array" ref="D41">MAX($C23:$N23*TRANSPOSE(D$22:D$33))</f>
        <v>1</v>
      </c>
      <c r="E41" s="23" cm="1">
        <f t="array" ref="E41">MAX($C23:$N23*TRANSPOSE(E$22:E$33))</f>
        <v>0</v>
      </c>
      <c r="F41" s="23" cm="1">
        <f t="array" ref="F41">MAX($C23:$N23*TRANSPOSE(F$22:F$33))</f>
        <v>0</v>
      </c>
      <c r="G41" s="23" cm="1">
        <f t="array" ref="G41">MAX($C23:$N23*TRANSPOSE(G$22:G$33))</f>
        <v>0</v>
      </c>
      <c r="H41" s="23" cm="1">
        <f t="array" ref="H41">MAX($C23:$N23*TRANSPOSE(H$22:H$33))</f>
        <v>1</v>
      </c>
      <c r="I41" s="23" cm="1">
        <f t="array" ref="I41">MAX($C23:$N23*TRANSPOSE(I$22:I$33))</f>
        <v>0</v>
      </c>
      <c r="J41" s="23" cm="1">
        <f t="array" ref="J41">MAX($C23:$N23*TRANSPOSE(J$22:J$33))</f>
        <v>0</v>
      </c>
      <c r="K41" s="23" cm="1">
        <f t="array" ref="K41">MAX($C23:$N23*TRANSPOSE(K$22:K$33))</f>
        <v>0</v>
      </c>
      <c r="L41" s="23" cm="1">
        <f t="array" ref="L41">MAX($C23:$N23*TRANSPOSE(L$22:L$33))</f>
        <v>0</v>
      </c>
      <c r="M41" s="23" cm="1">
        <f t="array" ref="M41">MAX($C23:$N23*TRANSPOSE(M$22:M$33))</f>
        <v>0</v>
      </c>
      <c r="N41" s="23" cm="1">
        <f t="array" ref="N41">MAX($C23:$N23*TRANSPOSE(N$22:N$33))</f>
        <v>1</v>
      </c>
      <c r="O41" s="9">
        <f t="shared" ref="O41:O51" si="2">SUM(C41:N41)</f>
        <v>3</v>
      </c>
      <c r="P41" s="9">
        <v>7</v>
      </c>
      <c r="Q41" s="4"/>
    </row>
    <row r="42" spans="1:19">
      <c r="B42" s="8">
        <v>3</v>
      </c>
      <c r="C42" s="23" cm="1">
        <f t="array" ref="C42">MAX($C24:$N24*TRANSPOSE(C$22:C$33))</f>
        <v>0</v>
      </c>
      <c r="D42" s="23" cm="1">
        <f t="array" ref="D42">MAX($C24:$N24*TRANSPOSE(D$22:D$33))</f>
        <v>1</v>
      </c>
      <c r="E42" s="23" cm="1">
        <f t="array" ref="E42">MAX($C24:$N24*TRANSPOSE(E$22:E$33))</f>
        <v>1</v>
      </c>
      <c r="F42" s="23" cm="1">
        <f t="array" ref="F42">MAX($C24:$N24*TRANSPOSE(F$22:F$33))</f>
        <v>0</v>
      </c>
      <c r="G42" s="23" cm="1">
        <f t="array" ref="G42">MAX($C24:$N24*TRANSPOSE(G$22:G$33))</f>
        <v>1</v>
      </c>
      <c r="H42" s="23" cm="1">
        <f t="array" ref="H42">MAX($C24:$N24*TRANSPOSE(H$22:H$33))</f>
        <v>1</v>
      </c>
      <c r="I42" s="23" cm="1">
        <f t="array" ref="I42">MAX($C24:$N24*TRANSPOSE(I$22:I$33))</f>
        <v>1</v>
      </c>
      <c r="J42" s="23" cm="1">
        <f t="array" ref="J42">MAX($C24:$N24*TRANSPOSE(J$22:J$33))</f>
        <v>1</v>
      </c>
      <c r="K42" s="23" cm="1">
        <f t="array" ref="K42">MAX($C24:$N24*TRANSPOSE(K$22:K$33))</f>
        <v>1</v>
      </c>
      <c r="L42" s="23" cm="1">
        <f t="array" ref="L42">MAX($C24:$N24*TRANSPOSE(L$22:L$33))</f>
        <v>0</v>
      </c>
      <c r="M42" s="23" cm="1">
        <f t="array" ref="M42">MAX($C24:$N24*TRANSPOSE(M$22:M$33))</f>
        <v>0</v>
      </c>
      <c r="N42" s="23" cm="1">
        <f t="array" ref="N42">MAX($C24:$N24*TRANSPOSE(N$22:N$33))</f>
        <v>1</v>
      </c>
      <c r="O42" s="9">
        <f t="shared" si="2"/>
        <v>8</v>
      </c>
      <c r="P42" s="9">
        <v>4</v>
      </c>
      <c r="Q42" s="4"/>
    </row>
    <row r="43" spans="1:19">
      <c r="B43" s="8">
        <v>4</v>
      </c>
      <c r="C43" s="23" cm="1">
        <f t="array" ref="C43">MAX($C25:$N25*TRANSPOSE(C$22:C$33))</f>
        <v>1</v>
      </c>
      <c r="D43" s="23" cm="1">
        <f t="array" ref="D43">MAX($C25:$N25*TRANSPOSE(D$22:D$33))</f>
        <v>1</v>
      </c>
      <c r="E43" s="23" cm="1">
        <f t="array" ref="E43">MAX($C25:$N25*TRANSPOSE(E$22:E$33))</f>
        <v>0</v>
      </c>
      <c r="F43" s="23" cm="1">
        <f t="array" ref="F43">MAX($C25:$N25*TRANSPOSE(F$22:F$33))</f>
        <v>1</v>
      </c>
      <c r="G43" s="23" cm="1">
        <f t="array" ref="G43">MAX($C25:$N25*TRANSPOSE(G$22:G$33))</f>
        <v>1</v>
      </c>
      <c r="H43" s="23" cm="1">
        <f t="array" ref="H43">MAX($C25:$N25*TRANSPOSE(H$22:H$33))</f>
        <v>1</v>
      </c>
      <c r="I43" s="23" cm="1">
        <f t="array" ref="I43">MAX($C25:$N25*TRANSPOSE(I$22:I$33))</f>
        <v>1</v>
      </c>
      <c r="J43" s="23" cm="1">
        <f t="array" ref="J43">MAX($C25:$N25*TRANSPOSE(J$22:J$33))</f>
        <v>1</v>
      </c>
      <c r="K43" s="23" cm="1">
        <f t="array" ref="K43">MAX($C25:$N25*TRANSPOSE(K$22:K$33))</f>
        <v>1</v>
      </c>
      <c r="L43" s="23" cm="1">
        <f t="array" ref="L43">MAX($C25:$N25*TRANSPOSE(L$22:L$33))</f>
        <v>0</v>
      </c>
      <c r="M43" s="23" cm="1">
        <f t="array" ref="M43">MAX($C25:$N25*TRANSPOSE(M$22:M$33))</f>
        <v>0</v>
      </c>
      <c r="N43" s="23" cm="1">
        <f t="array" ref="N43">MAX($C25:$N25*TRANSPOSE(N$22:N$33))</f>
        <v>1</v>
      </c>
      <c r="O43" s="9">
        <f t="shared" si="2"/>
        <v>9</v>
      </c>
      <c r="P43" s="9">
        <v>3</v>
      </c>
      <c r="Q43" s="4"/>
    </row>
    <row r="44" spans="1:19">
      <c r="B44" s="8">
        <v>5</v>
      </c>
      <c r="C44" s="23" cm="1">
        <f t="array" ref="C44">MAX($C26:$N26*TRANSPOSE(C$22:C$33))</f>
        <v>0</v>
      </c>
      <c r="D44" s="23" cm="1">
        <f t="array" ref="D44">MAX($C26:$N26*TRANSPOSE(D$22:D$33))</f>
        <v>1</v>
      </c>
      <c r="E44" s="23" cm="1">
        <f t="array" ref="E44">MAX($C26:$N26*TRANSPOSE(E$22:E$33))</f>
        <v>1</v>
      </c>
      <c r="F44" s="23" cm="1">
        <f t="array" ref="F44">MAX($C26:$N26*TRANSPOSE(F$22:F$33))</f>
        <v>0</v>
      </c>
      <c r="G44" s="23" cm="1">
        <f t="array" ref="G44">MAX($C26:$N26*TRANSPOSE(G$22:G$33))</f>
        <v>1</v>
      </c>
      <c r="H44" s="23" cm="1">
        <f t="array" ref="H44">MAX($C26:$N26*TRANSPOSE(H$22:H$33))</f>
        <v>1</v>
      </c>
      <c r="I44" s="23" cm="1">
        <f t="array" ref="I44">MAX($C26:$N26*TRANSPOSE(I$22:I$33))</f>
        <v>0</v>
      </c>
      <c r="J44" s="23" cm="1">
        <f t="array" ref="J44">MAX($C26:$N26*TRANSPOSE(J$22:J$33))</f>
        <v>1</v>
      </c>
      <c r="K44" s="23" cm="1">
        <f t="array" ref="K44">MAX($C26:$N26*TRANSPOSE(K$22:K$33))</f>
        <v>1</v>
      </c>
      <c r="L44" s="23" cm="1">
        <f t="array" ref="L44">MAX($C26:$N26*TRANSPOSE(L$22:L$33))</f>
        <v>0</v>
      </c>
      <c r="M44" s="23" cm="1">
        <f t="array" ref="M44">MAX($C26:$N26*TRANSPOSE(M$22:M$33))</f>
        <v>0</v>
      </c>
      <c r="N44" s="23" cm="1">
        <f t="array" ref="N44">MAX($C26:$N26*TRANSPOSE(N$22:N$33))</f>
        <v>1</v>
      </c>
      <c r="O44" s="9">
        <f t="shared" si="2"/>
        <v>7</v>
      </c>
      <c r="P44" s="9">
        <v>5</v>
      </c>
      <c r="Q44" s="4"/>
    </row>
    <row r="45" spans="1:19">
      <c r="B45" s="8">
        <v>6</v>
      </c>
      <c r="C45" s="23" cm="1">
        <f t="array" ref="C45">MAX($C27:$N27*TRANSPOSE(C$22:C$33))</f>
        <v>0</v>
      </c>
      <c r="D45" s="23" cm="1">
        <f t="array" ref="D45">MAX($C27:$N27*TRANSPOSE(D$22:D$33))</f>
        <v>1</v>
      </c>
      <c r="E45" s="23" cm="1">
        <f t="array" ref="E45">MAX($C27:$N27*TRANSPOSE(E$22:E$33))</f>
        <v>0</v>
      </c>
      <c r="F45" s="23" cm="1">
        <f t="array" ref="F45">MAX($C27:$N27*TRANSPOSE(F$22:F$33))</f>
        <v>0</v>
      </c>
      <c r="G45" s="23" cm="1">
        <f t="array" ref="G45">MAX($C27:$N27*TRANSPOSE(G$22:G$33))</f>
        <v>0</v>
      </c>
      <c r="H45" s="23" cm="1">
        <f t="array" ref="H45">MAX($C27:$N27*TRANSPOSE(H$22:H$33))</f>
        <v>1</v>
      </c>
      <c r="I45" s="23" cm="1">
        <f t="array" ref="I45">MAX($C27:$N27*TRANSPOSE(I$22:I$33))</f>
        <v>0</v>
      </c>
      <c r="J45" s="23" cm="1">
        <f t="array" ref="J45">MAX($C27:$N27*TRANSPOSE(J$22:J$33))</f>
        <v>0</v>
      </c>
      <c r="K45" s="23" cm="1">
        <f t="array" ref="K45">MAX($C27:$N27*TRANSPOSE(K$22:K$33))</f>
        <v>0</v>
      </c>
      <c r="L45" s="23" cm="1">
        <f t="array" ref="L45">MAX($C27:$N27*TRANSPOSE(L$22:L$33))</f>
        <v>0</v>
      </c>
      <c r="M45" s="23" cm="1">
        <f t="array" ref="M45">MAX($C27:$N27*TRANSPOSE(M$22:M$33))</f>
        <v>0</v>
      </c>
      <c r="N45" s="23" cm="1">
        <f t="array" ref="N45">MAX($C27:$N27*TRANSPOSE(N$22:N$33))</f>
        <v>1</v>
      </c>
      <c r="O45" s="9">
        <f t="shared" si="2"/>
        <v>3</v>
      </c>
      <c r="P45" s="9">
        <v>7</v>
      </c>
      <c r="Q45" s="4"/>
    </row>
    <row r="46" spans="1:19">
      <c r="B46" s="8">
        <v>7</v>
      </c>
      <c r="C46" s="23" cm="1">
        <f t="array" ref="C46">MAX($C28:$N28*TRANSPOSE(C$22:C$33))</f>
        <v>0</v>
      </c>
      <c r="D46" s="23" cm="1">
        <f t="array" ref="D46">MAX($C28:$N28*TRANSPOSE(D$22:D$33))</f>
        <v>1</v>
      </c>
      <c r="E46" s="23" cm="1">
        <f t="array" ref="E46">MAX($C28:$N28*TRANSPOSE(E$22:E$33))</f>
        <v>1</v>
      </c>
      <c r="F46" s="23" cm="1">
        <f t="array" ref="F46">MAX($C28:$N28*TRANSPOSE(F$22:F$33))</f>
        <v>0</v>
      </c>
      <c r="G46" s="23" cm="1">
        <f t="array" ref="G46">MAX($C28:$N28*TRANSPOSE(G$22:G$33))</f>
        <v>1</v>
      </c>
      <c r="H46" s="23" cm="1">
        <f t="array" ref="H46">MAX($C28:$N28*TRANSPOSE(H$22:H$33))</f>
        <v>1</v>
      </c>
      <c r="I46" s="23" cm="1">
        <f t="array" ref="I46">MAX($C28:$N28*TRANSPOSE(I$22:I$33))</f>
        <v>1</v>
      </c>
      <c r="J46" s="23" cm="1">
        <f t="array" ref="J46">MAX($C28:$N28*TRANSPOSE(J$22:J$33))</f>
        <v>1</v>
      </c>
      <c r="K46" s="23" cm="1">
        <f t="array" ref="K46">MAX($C28:$N28*TRANSPOSE(K$22:K$33))</f>
        <v>1</v>
      </c>
      <c r="L46" s="23" cm="1">
        <f t="array" ref="L46">MAX($C28:$N28*TRANSPOSE(L$22:L$33))</f>
        <v>0</v>
      </c>
      <c r="M46" s="23" cm="1">
        <f t="array" ref="M46">MAX($C28:$N28*TRANSPOSE(M$22:M$33))</f>
        <v>0</v>
      </c>
      <c r="N46" s="23" cm="1">
        <f t="array" ref="N46">MAX($C28:$N28*TRANSPOSE(N$22:N$33))</f>
        <v>1</v>
      </c>
      <c r="O46" s="9">
        <f t="shared" si="2"/>
        <v>8</v>
      </c>
      <c r="P46" s="9">
        <v>4</v>
      </c>
      <c r="Q46" s="4"/>
    </row>
    <row r="47" spans="1:19">
      <c r="B47" s="8">
        <v>8</v>
      </c>
      <c r="C47" s="23" cm="1">
        <f t="array" ref="C47">MAX($C29:$N29*TRANSPOSE(C$22:C$33))</f>
        <v>0</v>
      </c>
      <c r="D47" s="23" cm="1">
        <f t="array" ref="D47">MAX($C29:$N29*TRANSPOSE(D$22:D$33))</f>
        <v>1</v>
      </c>
      <c r="E47" s="23" cm="1">
        <f t="array" ref="E47">MAX($C29:$N29*TRANSPOSE(E$22:E$33))</f>
        <v>1</v>
      </c>
      <c r="F47" s="23" cm="1">
        <f t="array" ref="F47">MAX($C29:$N29*TRANSPOSE(F$22:F$33))</f>
        <v>0</v>
      </c>
      <c r="G47" s="23" cm="1">
        <f t="array" ref="G47">MAX($C29:$N29*TRANSPOSE(G$22:G$33))</f>
        <v>1</v>
      </c>
      <c r="H47" s="23" cm="1">
        <f t="array" ref="H47">MAX($C29:$N29*TRANSPOSE(H$22:H$33))</f>
        <v>1</v>
      </c>
      <c r="I47" s="23" cm="1">
        <f t="array" ref="I47">MAX($C29:$N29*TRANSPOSE(I$22:I$33))</f>
        <v>1</v>
      </c>
      <c r="J47" s="23" cm="1">
        <f t="array" ref="J47">MAX($C29:$N29*TRANSPOSE(J$22:J$33))</f>
        <v>1</v>
      </c>
      <c r="K47" s="23" cm="1">
        <f t="array" ref="K47">MAX($C29:$N29*TRANSPOSE(K$22:K$33))</f>
        <v>0</v>
      </c>
      <c r="L47" s="23" cm="1">
        <f t="array" ref="L47">MAX($C29:$N29*TRANSPOSE(L$22:L$33))</f>
        <v>0</v>
      </c>
      <c r="M47" s="23" cm="1">
        <f t="array" ref="M47">MAX($C29:$N29*TRANSPOSE(M$22:M$33))</f>
        <v>0</v>
      </c>
      <c r="N47" s="23" cm="1">
        <f t="array" ref="N47">MAX($C29:$N29*TRANSPOSE(N$22:N$33))</f>
        <v>1</v>
      </c>
      <c r="O47" s="9">
        <f t="shared" si="2"/>
        <v>7</v>
      </c>
      <c r="P47" s="9">
        <v>5</v>
      </c>
      <c r="Q47" s="4"/>
    </row>
    <row r="48" spans="1:19">
      <c r="B48" s="8">
        <v>9</v>
      </c>
      <c r="C48" s="23" cm="1">
        <f t="array" ref="C48">MAX($C30:$N30*TRANSPOSE(C$22:C$33))</f>
        <v>0</v>
      </c>
      <c r="D48" s="23" cm="1">
        <f t="array" ref="D48">MAX($C30:$N30*TRANSPOSE(D$22:D$33))</f>
        <v>1</v>
      </c>
      <c r="E48" s="23" cm="1">
        <f t="array" ref="E48">MAX($C30:$N30*TRANSPOSE(E$22:E$33))</f>
        <v>1</v>
      </c>
      <c r="F48" s="23" cm="1">
        <f t="array" ref="F48">MAX($C30:$N30*TRANSPOSE(F$22:F$33))</f>
        <v>0</v>
      </c>
      <c r="G48" s="23" cm="1">
        <f t="array" ref="G48">MAX($C30:$N30*TRANSPOSE(G$22:G$33))</f>
        <v>0</v>
      </c>
      <c r="H48" s="23" cm="1">
        <f t="array" ref="H48">MAX($C30:$N30*TRANSPOSE(H$22:H$33))</f>
        <v>1</v>
      </c>
      <c r="I48" s="23" cm="1">
        <f t="array" ref="I48">MAX($C30:$N30*TRANSPOSE(I$22:I$33))</f>
        <v>0</v>
      </c>
      <c r="J48" s="23" cm="1">
        <f t="array" ref="J48">MAX($C30:$N30*TRANSPOSE(J$22:J$33))</f>
        <v>1</v>
      </c>
      <c r="K48" s="23" cm="1">
        <f t="array" ref="K48">MAX($C30:$N30*TRANSPOSE(K$22:K$33))</f>
        <v>1</v>
      </c>
      <c r="L48" s="23" cm="1">
        <f t="array" ref="L48">MAX($C30:$N30*TRANSPOSE(L$22:L$33))</f>
        <v>0</v>
      </c>
      <c r="M48" s="23" cm="1">
        <f t="array" ref="M48">MAX($C30:$N30*TRANSPOSE(M$22:M$33))</f>
        <v>0</v>
      </c>
      <c r="N48" s="23" cm="1">
        <f t="array" ref="N48">MAX($C30:$N30*TRANSPOSE(N$22:N$33))</f>
        <v>1</v>
      </c>
      <c r="O48" s="9">
        <f t="shared" si="2"/>
        <v>6</v>
      </c>
      <c r="P48" s="9">
        <v>6</v>
      </c>
      <c r="Q48" s="4"/>
    </row>
    <row r="49" spans="2:18">
      <c r="B49" s="8">
        <v>10</v>
      </c>
      <c r="C49" s="23" cm="1">
        <f t="array" ref="C49">MAX($C31:$N31*TRANSPOSE(C$22:C$33))</f>
        <v>1</v>
      </c>
      <c r="D49" s="23" cm="1">
        <f t="array" ref="D49">MAX($C31:$N31*TRANSPOSE(D$22:D$33))</f>
        <v>1</v>
      </c>
      <c r="E49" s="23" cm="1">
        <f t="array" ref="E49">MAX($C31:$N31*TRANSPOSE(E$22:E$33))</f>
        <v>1</v>
      </c>
      <c r="F49" s="23" cm="1">
        <f t="array" ref="F49">MAX($C31:$N31*TRANSPOSE(F$22:F$33))</f>
        <v>1</v>
      </c>
      <c r="G49" s="23" cm="1">
        <f t="array" ref="G49">MAX($C31:$N31*TRANSPOSE(G$22:G$33))</f>
        <v>1</v>
      </c>
      <c r="H49" s="23" cm="1">
        <f t="array" ref="H49">MAX($C31:$N31*TRANSPOSE(H$22:H$33))</f>
        <v>1</v>
      </c>
      <c r="I49" s="23" cm="1">
        <f t="array" ref="I49">MAX($C31:$N31*TRANSPOSE(I$22:I$33))</f>
        <v>1</v>
      </c>
      <c r="J49" s="23" cm="1">
        <f t="array" ref="J49">MAX($C31:$N31*TRANSPOSE(J$22:J$33))</f>
        <v>1</v>
      </c>
      <c r="K49" s="23" cm="1">
        <f t="array" ref="K49">MAX($C31:$N31*TRANSPOSE(K$22:K$33))</f>
        <v>1</v>
      </c>
      <c r="L49" s="23" cm="1">
        <f t="array" ref="L49">MAX($C31:$N31*TRANSPOSE(L$22:L$33))</f>
        <v>1</v>
      </c>
      <c r="M49" s="23" cm="1">
        <f t="array" ref="M49">MAX($C31:$N31*TRANSPOSE(M$22:M$33))</f>
        <v>0</v>
      </c>
      <c r="N49" s="23" cm="1">
        <f t="array" ref="N49">MAX($C31:$N31*TRANSPOSE(N$22:N$33))</f>
        <v>1</v>
      </c>
      <c r="O49" s="9">
        <f t="shared" si="2"/>
        <v>11</v>
      </c>
      <c r="P49" s="9">
        <v>2</v>
      </c>
      <c r="Q49" s="4"/>
    </row>
    <row r="50" spans="2:18">
      <c r="B50" s="8">
        <v>11</v>
      </c>
      <c r="C50" s="23" cm="1">
        <f t="array" ref="C50">MAX($C32:$N32*TRANSPOSE(C$22:C$33))</f>
        <v>1</v>
      </c>
      <c r="D50" s="23" cm="1">
        <f t="array" ref="D50">MAX($C32:$N32*TRANSPOSE(D$22:D$33))</f>
        <v>1</v>
      </c>
      <c r="E50" s="23" cm="1">
        <f t="array" ref="E50">MAX($C32:$N32*TRANSPOSE(E$22:E$33))</f>
        <v>1</v>
      </c>
      <c r="F50" s="23" cm="1">
        <f t="array" ref="F50">MAX($C32:$N32*TRANSPOSE(F$22:F$33))</f>
        <v>1</v>
      </c>
      <c r="G50" s="23" cm="1">
        <f t="array" ref="G50">MAX($C32:$N32*TRANSPOSE(G$22:G$33))</f>
        <v>1</v>
      </c>
      <c r="H50" s="23" cm="1">
        <f t="array" ref="H50">MAX($C32:$N32*TRANSPOSE(H$22:H$33))</f>
        <v>1</v>
      </c>
      <c r="I50" s="23" cm="1">
        <f t="array" ref="I50">MAX($C32:$N32*TRANSPOSE(I$22:I$33))</f>
        <v>1</v>
      </c>
      <c r="J50" s="23" cm="1">
        <f t="array" ref="J50">MAX($C32:$N32*TRANSPOSE(J$22:J$33))</f>
        <v>1</v>
      </c>
      <c r="K50" s="23" cm="1">
        <f t="array" ref="K50">MAX($C32:$N32*TRANSPOSE(K$22:K$33))</f>
        <v>1</v>
      </c>
      <c r="L50" s="23" cm="1">
        <f t="array" ref="L50">MAX($C32:$N32*TRANSPOSE(L$22:L$33))</f>
        <v>1</v>
      </c>
      <c r="M50" s="23" cm="1">
        <f t="array" ref="M50">MAX($C32:$N32*TRANSPOSE(M$22:M$33))</f>
        <v>1</v>
      </c>
      <c r="N50" s="23" cm="1">
        <f t="array" ref="N50">MAX($C32:$N32*TRANSPOSE(N$22:N$33))</f>
        <v>1</v>
      </c>
      <c r="O50" s="9">
        <f t="shared" si="2"/>
        <v>12</v>
      </c>
      <c r="P50" s="9">
        <v>1</v>
      </c>
      <c r="Q50" s="4"/>
    </row>
    <row r="51" spans="2:18">
      <c r="B51" s="8">
        <v>12</v>
      </c>
      <c r="C51" s="23" cm="1">
        <f t="array" ref="C51">MAX($C33:$N33*TRANSPOSE(C$22:C$33))</f>
        <v>0</v>
      </c>
      <c r="D51" s="23" cm="1">
        <f t="array" ref="D51">MAX($C33:$N33*TRANSPOSE(D$22:D$33))</f>
        <v>0</v>
      </c>
      <c r="E51" s="23" cm="1">
        <f t="array" ref="E51">MAX($C33:$N33*TRANSPOSE(E$22:E$33))</f>
        <v>0</v>
      </c>
      <c r="F51" s="23" cm="1">
        <f t="array" ref="F51">MAX($C33:$N33*TRANSPOSE(F$22:F$33))</f>
        <v>0</v>
      </c>
      <c r="G51" s="23" cm="1">
        <f t="array" ref="G51">MAX($C33:$N33*TRANSPOSE(G$22:G$33))</f>
        <v>0</v>
      </c>
      <c r="H51" s="23" cm="1">
        <f t="array" ref="H51">MAX($C33:$N33*TRANSPOSE(H$22:H$33))</f>
        <v>0</v>
      </c>
      <c r="I51" s="23" cm="1">
        <f t="array" ref="I51">MAX($C33:$N33*TRANSPOSE(I$22:I$33))</f>
        <v>0</v>
      </c>
      <c r="J51" s="23" cm="1">
        <f t="array" ref="J51">MAX($C33:$N33*TRANSPOSE(J$22:J$33))</f>
        <v>0</v>
      </c>
      <c r="K51" s="23" cm="1">
        <f t="array" ref="K51">MAX($C33:$N33*TRANSPOSE(K$22:K$33))</f>
        <v>0</v>
      </c>
      <c r="L51" s="23" cm="1">
        <f t="array" ref="L51">MAX($C33:$N33*TRANSPOSE(L$22:L$33))</f>
        <v>0</v>
      </c>
      <c r="M51" s="23" cm="1">
        <f t="array" ref="M51">MAX($C33:$N33*TRANSPOSE(M$22:M$33))</f>
        <v>0</v>
      </c>
      <c r="N51" s="23" cm="1">
        <f t="array" ref="N51">MAX($C33:$N33*TRANSPOSE(N$22:N$33))</f>
        <v>1</v>
      </c>
      <c r="O51" s="9">
        <f t="shared" si="2"/>
        <v>1</v>
      </c>
      <c r="P51" s="9">
        <v>8</v>
      </c>
      <c r="Q51" s="4"/>
    </row>
    <row r="52" spans="2:18">
      <c r="B52" s="9" t="s">
        <v>18</v>
      </c>
      <c r="C52" s="9">
        <f>SUM(C40:C51)</f>
        <v>4</v>
      </c>
      <c r="D52" s="9">
        <f t="shared" ref="D52:N52" si="3">SUM(D40:D51)</f>
        <v>11</v>
      </c>
      <c r="E52" s="9">
        <f t="shared" si="3"/>
        <v>8</v>
      </c>
      <c r="F52" s="9">
        <f t="shared" si="3"/>
        <v>3</v>
      </c>
      <c r="G52" s="9">
        <f t="shared" si="3"/>
        <v>8</v>
      </c>
      <c r="H52" s="9">
        <f t="shared" si="3"/>
        <v>11</v>
      </c>
      <c r="I52" s="9">
        <f t="shared" si="3"/>
        <v>7</v>
      </c>
      <c r="J52" s="9">
        <f t="shared" si="3"/>
        <v>9</v>
      </c>
      <c r="K52" s="9">
        <f t="shared" si="3"/>
        <v>8</v>
      </c>
      <c r="L52" s="9">
        <f t="shared" si="3"/>
        <v>2</v>
      </c>
      <c r="M52" s="9">
        <f t="shared" si="3"/>
        <v>1</v>
      </c>
      <c r="N52" s="9">
        <f t="shared" si="3"/>
        <v>12</v>
      </c>
      <c r="O52" s="4"/>
    </row>
    <row r="53" spans="2:18">
      <c r="B53" s="9" t="s">
        <v>19</v>
      </c>
      <c r="C53" s="9">
        <v>6</v>
      </c>
      <c r="D53" s="9">
        <v>2</v>
      </c>
      <c r="E53" s="9">
        <v>4</v>
      </c>
      <c r="F53" s="9">
        <v>7</v>
      </c>
      <c r="G53" s="9">
        <v>4</v>
      </c>
      <c r="H53" s="9">
        <v>2</v>
      </c>
      <c r="I53" s="9">
        <v>5</v>
      </c>
      <c r="J53" s="9">
        <v>3</v>
      </c>
      <c r="K53" s="9">
        <v>4</v>
      </c>
      <c r="L53" s="9">
        <v>8</v>
      </c>
      <c r="M53" s="9">
        <v>9</v>
      </c>
      <c r="N53" s="9">
        <v>1</v>
      </c>
    </row>
    <row r="54" spans="2:18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2:18" ht="21">
      <c r="B55" s="17" t="s">
        <v>53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5"/>
      <c r="Q55" s="19" t="s">
        <v>17</v>
      </c>
      <c r="R55" s="19" t="s">
        <v>18</v>
      </c>
    </row>
    <row r="56" spans="2:18">
      <c r="B56" s="16" t="s">
        <v>48</v>
      </c>
      <c r="C56" s="24">
        <v>11</v>
      </c>
      <c r="D56" s="24"/>
      <c r="E56" s="24"/>
      <c r="F56" s="24"/>
      <c r="G56" s="23" t="s">
        <v>49</v>
      </c>
      <c r="H56" s="23"/>
      <c r="I56" s="23"/>
      <c r="J56" s="23"/>
      <c r="K56" s="23"/>
      <c r="L56" s="23"/>
      <c r="M56" s="23" t="s">
        <v>50</v>
      </c>
      <c r="N56" s="23"/>
      <c r="O56" s="4"/>
      <c r="P56" s="1">
        <v>1</v>
      </c>
      <c r="Q56">
        <v>9</v>
      </c>
      <c r="R56" s="4">
        <v>4</v>
      </c>
    </row>
    <row r="57" spans="2:18">
      <c r="B57" s="1">
        <v>11</v>
      </c>
      <c r="C57" s="24"/>
      <c r="D57" s="24">
        <v>10</v>
      </c>
      <c r="E57" s="24"/>
      <c r="F57" s="24"/>
      <c r="G57" s="23"/>
      <c r="H57" s="23"/>
      <c r="I57" s="23"/>
      <c r="J57" s="23"/>
      <c r="K57" s="23"/>
      <c r="L57" s="23"/>
      <c r="M57" s="23"/>
      <c r="N57" s="23"/>
      <c r="O57" s="4"/>
      <c r="P57" s="1">
        <v>2</v>
      </c>
      <c r="Q57">
        <v>3</v>
      </c>
      <c r="R57" s="4">
        <v>11</v>
      </c>
    </row>
    <row r="58" spans="2:18">
      <c r="B58" s="1">
        <v>10</v>
      </c>
      <c r="C58" s="24"/>
      <c r="D58" s="24"/>
      <c r="E58" s="24"/>
      <c r="F58" s="24"/>
      <c r="G58" s="23"/>
      <c r="H58" s="23"/>
      <c r="I58" s="23"/>
      <c r="J58" s="23"/>
      <c r="K58" s="23"/>
      <c r="L58" s="23"/>
      <c r="M58" s="23"/>
      <c r="N58" s="23"/>
      <c r="O58" s="4"/>
      <c r="P58" s="1">
        <v>3</v>
      </c>
      <c r="Q58">
        <v>8</v>
      </c>
      <c r="R58" s="4">
        <v>8</v>
      </c>
    </row>
    <row r="59" spans="2:18">
      <c r="B59" s="1">
        <v>9</v>
      </c>
      <c r="C59" s="24"/>
      <c r="D59" s="24"/>
      <c r="E59" s="24">
        <v>4</v>
      </c>
      <c r="F59" s="24">
        <v>1</v>
      </c>
      <c r="G59" s="23"/>
      <c r="H59" s="23"/>
      <c r="I59" s="23"/>
      <c r="J59" s="23"/>
      <c r="K59" s="23"/>
      <c r="L59" s="23"/>
      <c r="M59" s="23"/>
      <c r="N59" s="23"/>
      <c r="O59" s="4"/>
      <c r="P59" s="1">
        <v>4</v>
      </c>
      <c r="Q59">
        <v>9</v>
      </c>
      <c r="R59" s="4">
        <v>3</v>
      </c>
    </row>
    <row r="60" spans="2:18">
      <c r="B60" s="1">
        <v>8</v>
      </c>
      <c r="C60" s="24"/>
      <c r="D60" s="24"/>
      <c r="E60" s="24"/>
      <c r="F60" s="24"/>
      <c r="G60" s="23"/>
      <c r="H60" s="23"/>
      <c r="I60" s="23">
        <v>7</v>
      </c>
      <c r="J60" s="23">
        <v>3</v>
      </c>
      <c r="K60" s="23"/>
      <c r="L60" s="23"/>
      <c r="M60" s="23"/>
      <c r="N60" s="23"/>
      <c r="O60" s="4"/>
      <c r="P60" s="1">
        <v>5</v>
      </c>
      <c r="Q60">
        <v>7</v>
      </c>
      <c r="R60" s="4">
        <v>8</v>
      </c>
    </row>
    <row r="61" spans="2:18">
      <c r="B61" s="1">
        <v>7</v>
      </c>
      <c r="C61" s="24"/>
      <c r="D61" s="24"/>
      <c r="E61" s="24"/>
      <c r="F61" s="24"/>
      <c r="G61" s="23"/>
      <c r="H61" s="23"/>
      <c r="I61" s="23"/>
      <c r="J61" s="23">
        <v>5</v>
      </c>
      <c r="K61" s="23">
        <v>8</v>
      </c>
      <c r="L61" s="23"/>
      <c r="M61" s="23"/>
      <c r="N61" s="23"/>
      <c r="O61" s="4"/>
      <c r="P61" s="1">
        <v>6</v>
      </c>
      <c r="Q61">
        <v>3</v>
      </c>
      <c r="R61" s="4">
        <v>11</v>
      </c>
    </row>
    <row r="62" spans="2:18">
      <c r="B62" s="1">
        <v>6</v>
      </c>
      <c r="C62" s="24"/>
      <c r="D62" s="24"/>
      <c r="E62" s="24"/>
      <c r="F62" s="24"/>
      <c r="G62" s="23"/>
      <c r="H62" s="23"/>
      <c r="I62" s="23"/>
      <c r="J62" s="23">
        <v>9</v>
      </c>
      <c r="K62" s="23"/>
      <c r="L62" s="23"/>
      <c r="M62" s="23"/>
      <c r="N62" s="23"/>
      <c r="O62" s="4"/>
      <c r="P62" s="1">
        <v>7</v>
      </c>
      <c r="Q62">
        <v>8</v>
      </c>
      <c r="R62" s="4">
        <v>7</v>
      </c>
    </row>
    <row r="63" spans="2:18">
      <c r="B63" s="1">
        <v>5</v>
      </c>
      <c r="C63" s="24"/>
      <c r="D63" s="24"/>
      <c r="E63" s="24"/>
      <c r="F63" s="24"/>
      <c r="G63" s="23"/>
      <c r="H63" s="23"/>
      <c r="I63" s="23"/>
      <c r="J63" s="23"/>
      <c r="K63" s="23"/>
      <c r="L63" s="23"/>
      <c r="M63" s="23"/>
      <c r="N63" s="23"/>
      <c r="O63" s="4"/>
      <c r="P63" s="1">
        <v>8</v>
      </c>
      <c r="Q63">
        <v>7</v>
      </c>
      <c r="R63" s="4">
        <v>9</v>
      </c>
    </row>
    <row r="64" spans="2:18">
      <c r="B64" s="1">
        <v>4</v>
      </c>
      <c r="C64" s="24"/>
      <c r="D64" s="24"/>
      <c r="E64" s="24" t="s">
        <v>51</v>
      </c>
      <c r="F64" s="24"/>
      <c r="G64" s="23"/>
      <c r="H64" s="23"/>
      <c r="I64" s="23"/>
      <c r="J64" s="23"/>
      <c r="K64" s="23"/>
      <c r="L64" s="23" t="s">
        <v>52</v>
      </c>
      <c r="M64" s="23"/>
      <c r="N64" s="23"/>
      <c r="O64" s="4"/>
      <c r="P64" s="1">
        <v>9</v>
      </c>
      <c r="Q64">
        <v>6</v>
      </c>
      <c r="R64" s="4">
        <v>8</v>
      </c>
    </row>
    <row r="65" spans="1:48">
      <c r="B65" s="1">
        <v>3</v>
      </c>
      <c r="C65" s="24"/>
      <c r="D65" s="24"/>
      <c r="E65" s="24"/>
      <c r="F65" s="24"/>
      <c r="G65" s="23"/>
      <c r="H65" s="23"/>
      <c r="I65" s="23"/>
      <c r="J65" s="23"/>
      <c r="K65" s="23"/>
      <c r="L65" s="23"/>
      <c r="M65" s="23" t="s">
        <v>29</v>
      </c>
      <c r="N65" s="23"/>
      <c r="O65" s="4"/>
      <c r="P65" s="1">
        <v>10</v>
      </c>
      <c r="Q65">
        <v>11</v>
      </c>
      <c r="R65" s="4">
        <v>2</v>
      </c>
    </row>
    <row r="66" spans="1:48">
      <c r="B66" s="1">
        <v>2</v>
      </c>
      <c r="C66" s="24"/>
      <c r="D66" s="24"/>
      <c r="E66" s="24"/>
      <c r="F66" s="24"/>
      <c r="G66" s="23"/>
      <c r="H66" s="23"/>
      <c r="I66" s="23"/>
      <c r="J66" s="23"/>
      <c r="K66" s="23"/>
      <c r="L66" s="23"/>
      <c r="M66" s="23"/>
      <c r="N66" s="23"/>
      <c r="O66" s="4"/>
      <c r="P66" s="1">
        <v>11</v>
      </c>
      <c r="Q66">
        <v>12</v>
      </c>
      <c r="R66" s="4">
        <v>1</v>
      </c>
    </row>
    <row r="67" spans="1:48">
      <c r="B67" s="1">
        <v>1</v>
      </c>
      <c r="C67" s="24"/>
      <c r="D67" s="24"/>
      <c r="E67" s="24"/>
      <c r="F67" s="24"/>
      <c r="G67" s="23"/>
      <c r="H67" s="23"/>
      <c r="I67" s="23"/>
      <c r="J67" s="23"/>
      <c r="K67" s="23"/>
      <c r="L67" s="23"/>
      <c r="M67" s="23"/>
      <c r="N67" s="23">
        <v>12</v>
      </c>
      <c r="O67" s="4"/>
      <c r="P67" s="1">
        <v>12</v>
      </c>
      <c r="Q67">
        <v>1</v>
      </c>
      <c r="R67" s="4">
        <v>12</v>
      </c>
    </row>
    <row r="68" spans="1:48">
      <c r="C68" s="1">
        <v>1</v>
      </c>
      <c r="D68" s="1">
        <v>2</v>
      </c>
      <c r="E68" s="1">
        <v>3</v>
      </c>
      <c r="F68" s="1">
        <v>4</v>
      </c>
      <c r="G68" s="1">
        <v>5</v>
      </c>
      <c r="H68" s="1">
        <v>6</v>
      </c>
      <c r="I68" s="1">
        <v>7</v>
      </c>
      <c r="J68" s="1">
        <v>8</v>
      </c>
      <c r="K68" s="1">
        <v>9</v>
      </c>
      <c r="L68" s="1">
        <v>10</v>
      </c>
      <c r="M68" s="1">
        <v>11</v>
      </c>
      <c r="N68" s="1">
        <v>12</v>
      </c>
      <c r="O68" s="4"/>
    </row>
    <row r="69" spans="1:48">
      <c r="C69" s="1"/>
      <c r="D69" s="1"/>
      <c r="E69" s="1"/>
      <c r="F69" s="1"/>
      <c r="G69" s="1"/>
      <c r="H69" s="15" t="s">
        <v>18</v>
      </c>
      <c r="I69" s="15"/>
      <c r="J69" s="1"/>
      <c r="K69" s="1"/>
      <c r="L69" s="1"/>
      <c r="M69" s="1"/>
      <c r="N69" s="1"/>
    </row>
    <row r="70" spans="1:48">
      <c r="C70" s="1"/>
      <c r="D70" s="1"/>
      <c r="E70" s="1"/>
      <c r="F70" s="1"/>
      <c r="G70" s="1"/>
      <c r="H70" s="10"/>
      <c r="I70" s="10"/>
      <c r="J70" s="1"/>
      <c r="K70" s="1"/>
      <c r="L70" s="1"/>
      <c r="M70" s="1"/>
      <c r="N70" s="1"/>
    </row>
    <row r="71" spans="1:48" ht="17" thickBot="1"/>
    <row r="72" spans="1:48" s="18" customFormat="1" ht="19">
      <c r="A72" s="25"/>
      <c r="B72" s="26" t="s">
        <v>56</v>
      </c>
      <c r="C72" s="26"/>
      <c r="D72" s="26"/>
      <c r="E72" s="26"/>
      <c r="F72" s="27"/>
      <c r="H72" s="25"/>
      <c r="I72" s="26" t="s">
        <v>64</v>
      </c>
      <c r="J72" s="26"/>
      <c r="K72" s="26"/>
      <c r="L72" s="26"/>
      <c r="M72" s="27"/>
      <c r="O72" s="25"/>
      <c r="P72" s="26" t="s">
        <v>70</v>
      </c>
      <c r="Q72" s="26"/>
      <c r="R72" s="26"/>
      <c r="S72" s="26"/>
      <c r="T72" s="27"/>
      <c r="V72" s="25"/>
      <c r="W72" s="26" t="s">
        <v>71</v>
      </c>
      <c r="X72" s="26"/>
      <c r="Y72" s="26"/>
      <c r="Z72" s="26"/>
      <c r="AA72" s="27"/>
      <c r="AC72" s="25"/>
      <c r="AD72" s="26" t="s">
        <v>77</v>
      </c>
      <c r="AE72" s="26"/>
      <c r="AF72" s="26"/>
      <c r="AG72" s="26"/>
      <c r="AH72" s="27"/>
      <c r="AJ72" s="25"/>
      <c r="AK72" s="26" t="s">
        <v>80</v>
      </c>
      <c r="AL72" s="26"/>
      <c r="AM72" s="26"/>
      <c r="AN72" s="26"/>
      <c r="AO72" s="27"/>
      <c r="AQ72" s="25"/>
      <c r="AR72" s="26" t="s">
        <v>82</v>
      </c>
      <c r="AS72" s="26"/>
      <c r="AT72" s="26"/>
      <c r="AU72" s="26"/>
      <c r="AV72" s="27"/>
    </row>
    <row r="73" spans="1:48" ht="32">
      <c r="A73" s="28"/>
      <c r="B73" s="29"/>
      <c r="C73" s="30" t="s">
        <v>21</v>
      </c>
      <c r="D73" s="30" t="s">
        <v>22</v>
      </c>
      <c r="E73" s="30" t="s">
        <v>23</v>
      </c>
      <c r="F73" s="31" t="s">
        <v>24</v>
      </c>
      <c r="H73" s="28"/>
      <c r="I73" s="29"/>
      <c r="J73" s="30" t="s">
        <v>21</v>
      </c>
      <c r="K73" s="30" t="s">
        <v>22</v>
      </c>
      <c r="L73" s="30" t="s">
        <v>23</v>
      </c>
      <c r="M73" s="31" t="s">
        <v>24</v>
      </c>
      <c r="O73" s="28"/>
      <c r="P73" s="29"/>
      <c r="Q73" s="30" t="s">
        <v>21</v>
      </c>
      <c r="R73" s="30" t="s">
        <v>22</v>
      </c>
      <c r="S73" s="30" t="s">
        <v>23</v>
      </c>
      <c r="T73" s="31" t="s">
        <v>24</v>
      </c>
      <c r="V73" s="28"/>
      <c r="W73" s="29"/>
      <c r="X73" s="30" t="s">
        <v>21</v>
      </c>
      <c r="Y73" s="30" t="s">
        <v>22</v>
      </c>
      <c r="Z73" s="30" t="s">
        <v>23</v>
      </c>
      <c r="AA73" s="31" t="s">
        <v>24</v>
      </c>
      <c r="AC73" s="28"/>
      <c r="AD73" s="29"/>
      <c r="AE73" s="30" t="s">
        <v>21</v>
      </c>
      <c r="AF73" s="30" t="s">
        <v>22</v>
      </c>
      <c r="AG73" s="30" t="s">
        <v>23</v>
      </c>
      <c r="AH73" s="31" t="s">
        <v>24</v>
      </c>
      <c r="AJ73" s="28"/>
      <c r="AK73" s="29"/>
      <c r="AL73" s="30" t="s">
        <v>21</v>
      </c>
      <c r="AM73" s="30" t="s">
        <v>22</v>
      </c>
      <c r="AN73" s="30" t="s">
        <v>23</v>
      </c>
      <c r="AO73" s="31" t="s">
        <v>24</v>
      </c>
      <c r="AQ73" s="28"/>
      <c r="AR73" s="29"/>
      <c r="AS73" s="30" t="s">
        <v>21</v>
      </c>
      <c r="AT73" s="30" t="s">
        <v>22</v>
      </c>
      <c r="AU73" s="30" t="s">
        <v>23</v>
      </c>
      <c r="AV73" s="31" t="s">
        <v>24</v>
      </c>
    </row>
    <row r="74" spans="1:48" ht="86" thickBot="1">
      <c r="A74" s="32">
        <v>1</v>
      </c>
      <c r="B74" s="33" t="s">
        <v>1</v>
      </c>
      <c r="C74" s="34" t="s">
        <v>25</v>
      </c>
      <c r="D74" s="34" t="s">
        <v>26</v>
      </c>
      <c r="E74" s="34">
        <v>1</v>
      </c>
      <c r="F74" s="35"/>
      <c r="H74" s="32">
        <v>1</v>
      </c>
      <c r="I74" s="33" t="s">
        <v>1</v>
      </c>
      <c r="J74" s="34" t="s">
        <v>57</v>
      </c>
      <c r="K74" s="34" t="s">
        <v>26</v>
      </c>
      <c r="L74" s="34">
        <v>1</v>
      </c>
      <c r="M74" s="35"/>
      <c r="O74" s="32">
        <v>1</v>
      </c>
      <c r="P74" s="33" t="s">
        <v>1</v>
      </c>
      <c r="Q74" s="34" t="s">
        <v>72</v>
      </c>
      <c r="R74" s="34" t="s">
        <v>26</v>
      </c>
      <c r="S74" s="34">
        <v>1</v>
      </c>
      <c r="T74" s="35"/>
      <c r="V74" s="32">
        <v>1</v>
      </c>
      <c r="W74" s="33" t="s">
        <v>1</v>
      </c>
      <c r="X74" s="34">
        <v>1</v>
      </c>
      <c r="Y74" s="34" t="s">
        <v>26</v>
      </c>
      <c r="Z74" s="34">
        <v>1</v>
      </c>
      <c r="AA74" s="40" t="s">
        <v>69</v>
      </c>
      <c r="AC74" s="32">
        <v>4</v>
      </c>
      <c r="AD74" s="33" t="s">
        <v>10</v>
      </c>
      <c r="AE74" s="34">
        <v>4</v>
      </c>
      <c r="AF74" s="34" t="s">
        <v>33</v>
      </c>
      <c r="AG74" s="34">
        <v>4</v>
      </c>
      <c r="AH74" s="40" t="s">
        <v>79</v>
      </c>
      <c r="AJ74" s="32">
        <v>10</v>
      </c>
      <c r="AK74" s="33" t="s">
        <v>7</v>
      </c>
      <c r="AL74" s="34">
        <v>10</v>
      </c>
      <c r="AM74" s="34" t="s">
        <v>39</v>
      </c>
      <c r="AN74" s="34">
        <v>10</v>
      </c>
      <c r="AO74" s="40" t="s">
        <v>81</v>
      </c>
      <c r="AQ74" s="36">
        <v>11</v>
      </c>
      <c r="AR74" s="37" t="s">
        <v>8</v>
      </c>
      <c r="AS74" s="41">
        <v>11</v>
      </c>
      <c r="AT74" s="41">
        <v>11</v>
      </c>
      <c r="AU74" s="41">
        <v>11</v>
      </c>
      <c r="AV74" s="39" t="s">
        <v>83</v>
      </c>
    </row>
    <row r="75" spans="1:48" ht="69" thickBot="1">
      <c r="A75" s="32">
        <v>2</v>
      </c>
      <c r="B75" s="33" t="s">
        <v>2</v>
      </c>
      <c r="C75" s="34" t="s">
        <v>27</v>
      </c>
      <c r="D75" s="34" t="s">
        <v>28</v>
      </c>
      <c r="E75" s="34" t="s">
        <v>29</v>
      </c>
      <c r="F75" s="35"/>
      <c r="H75" s="32">
        <v>2</v>
      </c>
      <c r="I75" s="33" t="s">
        <v>2</v>
      </c>
      <c r="J75" s="34" t="s">
        <v>29</v>
      </c>
      <c r="K75" s="34" t="s">
        <v>28</v>
      </c>
      <c r="L75" s="34" t="s">
        <v>29</v>
      </c>
      <c r="M75" s="40" t="s">
        <v>55</v>
      </c>
      <c r="O75" s="32">
        <v>3</v>
      </c>
      <c r="P75" s="33" t="s">
        <v>3</v>
      </c>
      <c r="Q75" s="34" t="s">
        <v>32</v>
      </c>
      <c r="R75" s="34" t="s">
        <v>31</v>
      </c>
      <c r="S75" s="34" t="s">
        <v>32</v>
      </c>
      <c r="T75" s="40" t="s">
        <v>65</v>
      </c>
      <c r="V75" s="32">
        <v>4</v>
      </c>
      <c r="W75" s="33" t="s">
        <v>10</v>
      </c>
      <c r="X75" s="34" t="s">
        <v>67</v>
      </c>
      <c r="Y75" s="34" t="s">
        <v>33</v>
      </c>
      <c r="Z75" s="34">
        <v>4</v>
      </c>
      <c r="AA75" s="35"/>
      <c r="AC75" s="32">
        <v>10</v>
      </c>
      <c r="AD75" s="33" t="s">
        <v>7</v>
      </c>
      <c r="AE75" s="34" t="s">
        <v>78</v>
      </c>
      <c r="AF75" s="34" t="s">
        <v>39</v>
      </c>
      <c r="AG75" s="34">
        <v>10</v>
      </c>
      <c r="AH75" s="35"/>
      <c r="AJ75" s="36">
        <v>11</v>
      </c>
      <c r="AK75" s="37" t="s">
        <v>8</v>
      </c>
      <c r="AL75" s="41" t="s">
        <v>39</v>
      </c>
      <c r="AM75" s="41">
        <v>11</v>
      </c>
      <c r="AN75" s="41">
        <v>11</v>
      </c>
      <c r="AO75" s="42"/>
    </row>
    <row r="76" spans="1:48" ht="69" thickBot="1">
      <c r="A76" s="32">
        <v>3</v>
      </c>
      <c r="B76" s="33" t="s">
        <v>3</v>
      </c>
      <c r="C76" s="34" t="s">
        <v>30</v>
      </c>
      <c r="D76" s="34" t="s">
        <v>31</v>
      </c>
      <c r="E76" s="34" t="s">
        <v>32</v>
      </c>
      <c r="F76" s="35"/>
      <c r="H76" s="32">
        <v>3</v>
      </c>
      <c r="I76" s="33" t="s">
        <v>3</v>
      </c>
      <c r="J76" s="34" t="s">
        <v>58</v>
      </c>
      <c r="K76" s="34" t="s">
        <v>31</v>
      </c>
      <c r="L76" s="34" t="s">
        <v>32</v>
      </c>
      <c r="M76" s="35"/>
      <c r="O76" s="32">
        <v>4</v>
      </c>
      <c r="P76" s="33" t="s">
        <v>10</v>
      </c>
      <c r="Q76" s="34" t="s">
        <v>73</v>
      </c>
      <c r="R76" s="34" t="s">
        <v>33</v>
      </c>
      <c r="S76" s="34">
        <v>4</v>
      </c>
      <c r="T76" s="40"/>
      <c r="V76" s="32">
        <v>10</v>
      </c>
      <c r="W76" s="33" t="s">
        <v>7</v>
      </c>
      <c r="X76" s="34" t="s">
        <v>68</v>
      </c>
      <c r="Y76" s="34" t="s">
        <v>39</v>
      </c>
      <c r="Z76" s="34">
        <v>10</v>
      </c>
      <c r="AA76" s="35"/>
      <c r="AC76" s="36">
        <v>11</v>
      </c>
      <c r="AD76" s="37" t="s">
        <v>8</v>
      </c>
      <c r="AE76" s="41" t="s">
        <v>33</v>
      </c>
      <c r="AF76" s="41">
        <v>11</v>
      </c>
      <c r="AG76" s="41">
        <v>11</v>
      </c>
      <c r="AH76" s="42"/>
    </row>
    <row r="77" spans="1:48" ht="69" thickBot="1">
      <c r="A77" s="32">
        <v>4</v>
      </c>
      <c r="B77" s="33" t="s">
        <v>10</v>
      </c>
      <c r="C77" s="34" t="s">
        <v>34</v>
      </c>
      <c r="D77" s="34" t="s">
        <v>33</v>
      </c>
      <c r="E77" s="34">
        <v>4</v>
      </c>
      <c r="F77" s="35"/>
      <c r="H77" s="32">
        <v>4</v>
      </c>
      <c r="I77" s="33" t="s">
        <v>10</v>
      </c>
      <c r="J77" s="34" t="s">
        <v>59</v>
      </c>
      <c r="K77" s="34" t="s">
        <v>33</v>
      </c>
      <c r="L77" s="34">
        <v>4</v>
      </c>
      <c r="M77" s="35"/>
      <c r="O77" s="32">
        <v>5</v>
      </c>
      <c r="P77" s="33" t="s">
        <v>11</v>
      </c>
      <c r="Q77" s="34" t="s">
        <v>75</v>
      </c>
      <c r="R77" s="34" t="s">
        <v>35</v>
      </c>
      <c r="S77" s="34" t="s">
        <v>42</v>
      </c>
      <c r="T77" s="40" t="s">
        <v>65</v>
      </c>
      <c r="V77" s="36">
        <v>11</v>
      </c>
      <c r="W77" s="37" t="s">
        <v>8</v>
      </c>
      <c r="X77" s="41" t="s">
        <v>26</v>
      </c>
      <c r="Y77" s="41">
        <v>11</v>
      </c>
      <c r="Z77" s="41">
        <v>11</v>
      </c>
      <c r="AA77" s="42"/>
    </row>
    <row r="78" spans="1:48" ht="68">
      <c r="A78" s="32">
        <v>5</v>
      </c>
      <c r="B78" s="33" t="s">
        <v>11</v>
      </c>
      <c r="C78" s="34" t="s">
        <v>41</v>
      </c>
      <c r="D78" s="34" t="s">
        <v>35</v>
      </c>
      <c r="E78" s="34" t="s">
        <v>42</v>
      </c>
      <c r="F78" s="35"/>
      <c r="H78" s="32">
        <v>5</v>
      </c>
      <c r="I78" s="33" t="s">
        <v>11</v>
      </c>
      <c r="J78" s="34" t="s">
        <v>60</v>
      </c>
      <c r="K78" s="34" t="s">
        <v>35</v>
      </c>
      <c r="L78" s="34" t="s">
        <v>42</v>
      </c>
      <c r="M78" s="35"/>
      <c r="O78" s="32">
        <v>7</v>
      </c>
      <c r="P78" s="33" t="s">
        <v>4</v>
      </c>
      <c r="Q78" s="34" t="s">
        <v>32</v>
      </c>
      <c r="R78" s="34" t="s">
        <v>36</v>
      </c>
      <c r="S78" s="34" t="s">
        <v>43</v>
      </c>
      <c r="T78" s="40" t="s">
        <v>65</v>
      </c>
    </row>
    <row r="79" spans="1:48" ht="51">
      <c r="A79" s="32">
        <v>6</v>
      </c>
      <c r="B79" s="33" t="s">
        <v>12</v>
      </c>
      <c r="C79" s="34" t="s">
        <v>27</v>
      </c>
      <c r="D79" s="34" t="s">
        <v>28</v>
      </c>
      <c r="E79" s="34" t="s">
        <v>29</v>
      </c>
      <c r="F79" s="35"/>
      <c r="H79" s="32">
        <v>6</v>
      </c>
      <c r="I79" s="33" t="s">
        <v>12</v>
      </c>
      <c r="J79" s="34" t="s">
        <v>29</v>
      </c>
      <c r="K79" s="34" t="s">
        <v>28</v>
      </c>
      <c r="L79" s="34" t="s">
        <v>29</v>
      </c>
      <c r="M79" s="40" t="s">
        <v>55</v>
      </c>
      <c r="O79" s="32">
        <v>8</v>
      </c>
      <c r="P79" s="33" t="s">
        <v>5</v>
      </c>
      <c r="Q79" s="34" t="s">
        <v>66</v>
      </c>
      <c r="R79" s="34" t="s">
        <v>37</v>
      </c>
      <c r="S79" s="34" t="s">
        <v>66</v>
      </c>
      <c r="T79" s="40" t="s">
        <v>65</v>
      </c>
    </row>
    <row r="80" spans="1:48" ht="68">
      <c r="A80" s="32">
        <v>7</v>
      </c>
      <c r="B80" s="33" t="s">
        <v>4</v>
      </c>
      <c r="C80" s="34" t="s">
        <v>30</v>
      </c>
      <c r="D80" s="34" t="s">
        <v>36</v>
      </c>
      <c r="E80" s="34" t="s">
        <v>43</v>
      </c>
      <c r="F80" s="35"/>
      <c r="H80" s="32">
        <v>7</v>
      </c>
      <c r="I80" s="33" t="s">
        <v>4</v>
      </c>
      <c r="J80" s="34" t="s">
        <v>58</v>
      </c>
      <c r="K80" s="34" t="s">
        <v>36</v>
      </c>
      <c r="L80" s="34" t="s">
        <v>43</v>
      </c>
      <c r="M80" s="35"/>
      <c r="O80" s="32">
        <v>9</v>
      </c>
      <c r="P80" s="33" t="s">
        <v>6</v>
      </c>
      <c r="Q80" s="34" t="s">
        <v>76</v>
      </c>
      <c r="R80" s="34" t="s">
        <v>38</v>
      </c>
      <c r="S80" s="34" t="s">
        <v>46</v>
      </c>
      <c r="T80" s="40" t="s">
        <v>65</v>
      </c>
    </row>
    <row r="81" spans="1:20" ht="51">
      <c r="A81" s="32">
        <v>8</v>
      </c>
      <c r="B81" s="33" t="s">
        <v>5</v>
      </c>
      <c r="C81" s="34" t="s">
        <v>44</v>
      </c>
      <c r="D81" s="34" t="s">
        <v>37</v>
      </c>
      <c r="E81" s="34" t="s">
        <v>42</v>
      </c>
      <c r="F81" s="35"/>
      <c r="H81" s="32">
        <v>8</v>
      </c>
      <c r="I81" s="33" t="s">
        <v>5</v>
      </c>
      <c r="J81" s="34" t="s">
        <v>61</v>
      </c>
      <c r="K81" s="34" t="s">
        <v>37</v>
      </c>
      <c r="L81" s="34" t="s">
        <v>42</v>
      </c>
      <c r="M81" s="35"/>
      <c r="O81" s="32">
        <v>10</v>
      </c>
      <c r="P81" s="33" t="s">
        <v>7</v>
      </c>
      <c r="Q81" s="34" t="s">
        <v>74</v>
      </c>
      <c r="R81" s="34" t="s">
        <v>39</v>
      </c>
      <c r="S81" s="34">
        <v>10</v>
      </c>
      <c r="T81" s="35"/>
    </row>
    <row r="82" spans="1:20" ht="69" thickBot="1">
      <c r="A82" s="32">
        <v>9</v>
      </c>
      <c r="B82" s="33" t="s">
        <v>6</v>
      </c>
      <c r="C82" s="34" t="s">
        <v>45</v>
      </c>
      <c r="D82" s="34" t="s">
        <v>38</v>
      </c>
      <c r="E82" s="34" t="s">
        <v>46</v>
      </c>
      <c r="F82" s="35"/>
      <c r="H82" s="32">
        <v>9</v>
      </c>
      <c r="I82" s="33" t="s">
        <v>6</v>
      </c>
      <c r="J82" s="34" t="s">
        <v>62</v>
      </c>
      <c r="K82" s="34" t="s">
        <v>38</v>
      </c>
      <c r="L82" s="34" t="s">
        <v>46</v>
      </c>
      <c r="M82" s="35"/>
      <c r="O82" s="36">
        <v>11</v>
      </c>
      <c r="P82" s="37" t="s">
        <v>8</v>
      </c>
      <c r="Q82" s="41" t="s">
        <v>37</v>
      </c>
      <c r="R82" s="41">
        <v>11</v>
      </c>
      <c r="S82" s="41">
        <v>11</v>
      </c>
      <c r="T82" s="42"/>
    </row>
    <row r="83" spans="1:20" ht="51">
      <c r="A83" s="32">
        <v>10</v>
      </c>
      <c r="B83" s="33" t="s">
        <v>7</v>
      </c>
      <c r="C83" s="34" t="s">
        <v>47</v>
      </c>
      <c r="D83" s="34" t="s">
        <v>39</v>
      </c>
      <c r="E83" s="34">
        <v>10</v>
      </c>
      <c r="F83" s="35"/>
      <c r="H83" s="32">
        <v>10</v>
      </c>
      <c r="I83" s="33" t="s">
        <v>7</v>
      </c>
      <c r="J83" s="34" t="s">
        <v>63</v>
      </c>
      <c r="K83" s="34" t="s">
        <v>39</v>
      </c>
      <c r="L83" s="34">
        <v>10</v>
      </c>
      <c r="M83" s="35"/>
    </row>
    <row r="84" spans="1:20" ht="69" thickBot="1">
      <c r="A84" s="32">
        <v>11</v>
      </c>
      <c r="B84" s="33" t="s">
        <v>8</v>
      </c>
      <c r="C84" s="34" t="s">
        <v>40</v>
      </c>
      <c r="D84" s="34">
        <v>11</v>
      </c>
      <c r="E84" s="34">
        <v>11</v>
      </c>
      <c r="F84" s="35"/>
      <c r="H84" s="36">
        <v>11</v>
      </c>
      <c r="I84" s="37" t="s">
        <v>8</v>
      </c>
      <c r="J84" s="41" t="s">
        <v>28</v>
      </c>
      <c r="K84" s="41">
        <v>11</v>
      </c>
      <c r="L84" s="41">
        <v>11</v>
      </c>
      <c r="M84" s="42"/>
    </row>
    <row r="85" spans="1:20" ht="52" thickBot="1">
      <c r="A85" s="36">
        <v>12</v>
      </c>
      <c r="B85" s="37" t="s">
        <v>9</v>
      </c>
      <c r="C85" s="38">
        <v>12</v>
      </c>
      <c r="D85" s="38" t="s">
        <v>40</v>
      </c>
      <c r="E85" s="38">
        <v>12</v>
      </c>
      <c r="F85" s="39" t="s">
        <v>54</v>
      </c>
      <c r="H85" s="14"/>
      <c r="I85" s="13"/>
      <c r="J85" s="12"/>
      <c r="K85" s="12"/>
      <c r="L85" s="12"/>
      <c r="M85" s="12"/>
    </row>
    <row r="87" spans="1:20" ht="17" thickBot="1"/>
    <row r="88" spans="1:20" ht="44" customHeight="1">
      <c r="A88" s="43"/>
      <c r="B88" s="44" t="s">
        <v>84</v>
      </c>
      <c r="C88" s="44"/>
      <c r="D88" s="44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6"/>
    </row>
    <row r="89" spans="1:20">
      <c r="A89" s="28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8" t="s">
        <v>85</v>
      </c>
    </row>
    <row r="90" spans="1:20">
      <c r="A90" s="28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8"/>
    </row>
    <row r="91" spans="1:20">
      <c r="A91" s="28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8"/>
    </row>
    <row r="92" spans="1:20">
      <c r="A92" s="28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8"/>
    </row>
    <row r="93" spans="1:20">
      <c r="A93" s="28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8" t="s">
        <v>86</v>
      </c>
    </row>
    <row r="94" spans="1:20">
      <c r="A94" s="28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8"/>
    </row>
    <row r="95" spans="1:20">
      <c r="A95" s="28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8"/>
    </row>
    <row r="96" spans="1:20">
      <c r="A96" s="28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8"/>
    </row>
    <row r="97" spans="1:17">
      <c r="A97" s="28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8"/>
    </row>
    <row r="98" spans="1:17">
      <c r="A98" s="28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8" t="s">
        <v>87</v>
      </c>
    </row>
    <row r="99" spans="1:17">
      <c r="A99" s="28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8"/>
    </row>
    <row r="100" spans="1:17">
      <c r="A100" s="28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8"/>
    </row>
    <row r="101" spans="1:17">
      <c r="A101" s="28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8"/>
    </row>
    <row r="102" spans="1:17">
      <c r="A102" s="28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8"/>
    </row>
    <row r="103" spans="1:17">
      <c r="A103" s="28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8" t="s">
        <v>88</v>
      </c>
    </row>
    <row r="104" spans="1:17">
      <c r="A104" s="28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8"/>
    </row>
    <row r="105" spans="1:17">
      <c r="A105" s="28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8"/>
    </row>
    <row r="106" spans="1:17">
      <c r="A106" s="28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8"/>
    </row>
    <row r="107" spans="1:17">
      <c r="A107" s="28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8"/>
    </row>
    <row r="108" spans="1:17">
      <c r="A108" s="28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8" t="s">
        <v>89</v>
      </c>
    </row>
    <row r="109" spans="1:17">
      <c r="A109" s="28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8"/>
    </row>
    <row r="110" spans="1:17">
      <c r="A110" s="28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8"/>
    </row>
    <row r="111" spans="1:17">
      <c r="A111" s="28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8"/>
    </row>
    <row r="112" spans="1:17">
      <c r="A112" s="28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8"/>
    </row>
    <row r="113" spans="1:17">
      <c r="A113" s="28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8" t="s">
        <v>90</v>
      </c>
    </row>
    <row r="114" spans="1:17">
      <c r="A114" s="28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8"/>
    </row>
    <row r="115" spans="1:17">
      <c r="A115" s="28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8"/>
    </row>
    <row r="116" spans="1:17">
      <c r="A116" s="28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8"/>
    </row>
    <row r="117" spans="1:17">
      <c r="A117" s="28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8" t="s">
        <v>91</v>
      </c>
    </row>
    <row r="118" spans="1:17">
      <c r="A118" s="28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8"/>
    </row>
    <row r="119" spans="1:17">
      <c r="A119" s="28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8"/>
    </row>
    <row r="120" spans="1:17" ht="17" thickBot="1">
      <c r="A120" s="49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1"/>
    </row>
  </sheetData>
  <mergeCells count="3">
    <mergeCell ref="H69:I69"/>
    <mergeCell ref="B88:D88"/>
    <mergeCell ref="C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11D60-D67E-CB45-9083-51E95E5F1B6D}">
  <dimension ref="B1:S125"/>
  <sheetViews>
    <sheetView tabSelected="1" workbookViewId="0">
      <selection activeCell="S17" sqref="S17"/>
    </sheetView>
  </sheetViews>
  <sheetFormatPr baseColWidth="10" defaultRowHeight="16"/>
  <cols>
    <col min="2" max="2" width="39.5" customWidth="1"/>
  </cols>
  <sheetData>
    <row r="1" spans="2:16" ht="28">
      <c r="B1" s="72" t="s">
        <v>107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4"/>
      <c r="P1" s="74"/>
    </row>
    <row r="2" spans="2:16" ht="19" customHeight="1"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</row>
    <row r="3" spans="2:16" ht="17" customHeight="1"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2:16" ht="21">
      <c r="B4" s="11" t="s">
        <v>92</v>
      </c>
    </row>
    <row r="5" spans="2:16" ht="102">
      <c r="D5" s="13" t="s">
        <v>1</v>
      </c>
      <c r="E5" s="13" t="s">
        <v>2</v>
      </c>
      <c r="F5" s="13" t="s">
        <v>3</v>
      </c>
      <c r="G5" s="13" t="s">
        <v>10</v>
      </c>
      <c r="H5" s="13" t="s">
        <v>11</v>
      </c>
      <c r="I5" s="13" t="s">
        <v>12</v>
      </c>
      <c r="J5" s="13" t="s">
        <v>4</v>
      </c>
      <c r="K5" s="13" t="s">
        <v>5</v>
      </c>
      <c r="L5" s="13" t="s">
        <v>6</v>
      </c>
      <c r="M5" s="13" t="s">
        <v>7</v>
      </c>
      <c r="N5" s="13" t="s">
        <v>8</v>
      </c>
      <c r="O5" s="13" t="s">
        <v>9</v>
      </c>
    </row>
    <row r="6" spans="2:16">
      <c r="C6" s="4"/>
      <c r="D6" s="9">
        <v>1</v>
      </c>
      <c r="E6" s="9">
        <v>2</v>
      </c>
      <c r="F6" s="9">
        <v>3</v>
      </c>
      <c r="G6" s="9">
        <v>4</v>
      </c>
      <c r="H6" s="9">
        <v>5</v>
      </c>
      <c r="I6" s="9">
        <v>6</v>
      </c>
      <c r="J6" s="9">
        <v>7</v>
      </c>
      <c r="K6" s="9">
        <v>8</v>
      </c>
      <c r="L6" s="9">
        <v>9</v>
      </c>
      <c r="M6" s="9">
        <v>10</v>
      </c>
      <c r="N6" s="9">
        <v>11</v>
      </c>
      <c r="O6" s="9">
        <v>12</v>
      </c>
    </row>
    <row r="7" spans="2:16">
      <c r="B7" s="20" t="s">
        <v>1</v>
      </c>
      <c r="C7" s="9">
        <v>1</v>
      </c>
      <c r="D7" s="21">
        <v>0</v>
      </c>
      <c r="E7" s="21">
        <v>2</v>
      </c>
      <c r="F7" s="21">
        <v>0</v>
      </c>
      <c r="G7" s="21">
        <v>0</v>
      </c>
      <c r="H7" s="21">
        <v>3</v>
      </c>
      <c r="I7" s="21">
        <v>4</v>
      </c>
      <c r="J7" s="21">
        <v>3</v>
      </c>
      <c r="K7" s="21">
        <v>2</v>
      </c>
      <c r="L7" s="21">
        <v>2</v>
      </c>
      <c r="M7" s="21">
        <v>0</v>
      </c>
      <c r="N7" s="21">
        <v>0</v>
      </c>
      <c r="O7" s="21">
        <v>3</v>
      </c>
      <c r="P7">
        <f>SUM(D7:O7)</f>
        <v>19</v>
      </c>
    </row>
    <row r="8" spans="2:16">
      <c r="B8" s="20" t="s">
        <v>2</v>
      </c>
      <c r="C8" s="9">
        <v>2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2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2</v>
      </c>
      <c r="P8">
        <f t="shared" ref="P8:P18" si="0">SUM(D8:O8)</f>
        <v>4</v>
      </c>
    </row>
    <row r="9" spans="2:16">
      <c r="B9" s="20" t="s">
        <v>3</v>
      </c>
      <c r="C9" s="9">
        <v>3</v>
      </c>
      <c r="D9" s="21">
        <v>2</v>
      </c>
      <c r="E9" s="21">
        <v>3</v>
      </c>
      <c r="F9" s="21">
        <v>0</v>
      </c>
      <c r="G9" s="21">
        <v>0</v>
      </c>
      <c r="H9" s="21">
        <v>3</v>
      </c>
      <c r="I9" s="21">
        <v>0</v>
      </c>
      <c r="J9" s="21">
        <v>1</v>
      </c>
      <c r="K9" s="21">
        <v>0</v>
      </c>
      <c r="L9" s="21">
        <v>0</v>
      </c>
      <c r="M9" s="21">
        <v>0</v>
      </c>
      <c r="N9" s="21">
        <v>0</v>
      </c>
      <c r="O9" s="21">
        <v>2</v>
      </c>
      <c r="P9">
        <f t="shared" si="0"/>
        <v>11</v>
      </c>
    </row>
    <row r="10" spans="2:16">
      <c r="B10" s="20" t="s">
        <v>10</v>
      </c>
      <c r="C10" s="9">
        <v>4</v>
      </c>
      <c r="D10" s="21">
        <v>0</v>
      </c>
      <c r="E10" s="21">
        <v>4</v>
      </c>
      <c r="F10" s="21">
        <v>0</v>
      </c>
      <c r="G10" s="21">
        <v>0</v>
      </c>
      <c r="H10" s="21">
        <v>0</v>
      </c>
      <c r="I10" s="21">
        <v>1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3</v>
      </c>
      <c r="P10">
        <f t="shared" si="0"/>
        <v>8</v>
      </c>
    </row>
    <row r="11" spans="2:16">
      <c r="B11" s="20" t="s">
        <v>11</v>
      </c>
      <c r="C11" s="9">
        <v>5</v>
      </c>
      <c r="D11" s="21">
        <v>0</v>
      </c>
      <c r="E11" s="21">
        <v>4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1</v>
      </c>
      <c r="L11" s="21">
        <v>2</v>
      </c>
      <c r="M11" s="21">
        <v>0</v>
      </c>
      <c r="N11" s="21">
        <v>0</v>
      </c>
      <c r="O11" s="21">
        <v>4</v>
      </c>
      <c r="P11">
        <f t="shared" si="0"/>
        <v>11</v>
      </c>
    </row>
    <row r="12" spans="2:16">
      <c r="B12" s="20" t="s">
        <v>12</v>
      </c>
      <c r="C12" s="9">
        <v>6</v>
      </c>
      <c r="D12" s="21">
        <v>0</v>
      </c>
      <c r="E12" s="21">
        <v>1</v>
      </c>
      <c r="F12" s="21">
        <v>0</v>
      </c>
      <c r="G12" s="21">
        <v>0</v>
      </c>
      <c r="H12" s="21">
        <v>1</v>
      </c>
      <c r="I12" s="21">
        <v>0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3</v>
      </c>
      <c r="P12">
        <f t="shared" si="0"/>
        <v>5</v>
      </c>
    </row>
    <row r="13" spans="2:16">
      <c r="B13" s="20" t="s">
        <v>4</v>
      </c>
      <c r="C13" s="9">
        <v>7</v>
      </c>
      <c r="D13" s="21">
        <v>0</v>
      </c>
      <c r="E13" s="21">
        <v>3</v>
      </c>
      <c r="F13" s="21">
        <v>0</v>
      </c>
      <c r="G13" s="21">
        <v>0</v>
      </c>
      <c r="H13" s="21">
        <v>1</v>
      </c>
      <c r="I13" s="21">
        <v>1</v>
      </c>
      <c r="J13" s="21">
        <v>0</v>
      </c>
      <c r="K13" s="21">
        <v>1</v>
      </c>
      <c r="L13" s="21">
        <v>1</v>
      </c>
      <c r="M13" s="21">
        <v>0</v>
      </c>
      <c r="N13" s="21">
        <v>0</v>
      </c>
      <c r="O13" s="21">
        <v>2</v>
      </c>
      <c r="P13">
        <f t="shared" si="0"/>
        <v>9</v>
      </c>
    </row>
    <row r="14" spans="2:16">
      <c r="B14" s="20" t="s">
        <v>5</v>
      </c>
      <c r="C14" s="9">
        <v>8</v>
      </c>
      <c r="D14" s="21">
        <v>0</v>
      </c>
      <c r="E14" s="21">
        <v>4</v>
      </c>
      <c r="F14" s="21">
        <v>2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3</v>
      </c>
      <c r="P14">
        <f t="shared" si="0"/>
        <v>9</v>
      </c>
    </row>
    <row r="15" spans="2:16">
      <c r="B15" s="20" t="s">
        <v>6</v>
      </c>
      <c r="C15" s="9">
        <v>9</v>
      </c>
      <c r="D15" s="21">
        <v>0</v>
      </c>
      <c r="E15" s="21">
        <v>1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3</v>
      </c>
      <c r="L15" s="21">
        <v>0</v>
      </c>
      <c r="M15" s="21">
        <v>0</v>
      </c>
      <c r="N15" s="21">
        <v>0</v>
      </c>
      <c r="O15" s="21">
        <v>3</v>
      </c>
      <c r="P15">
        <f t="shared" si="0"/>
        <v>7</v>
      </c>
    </row>
    <row r="16" spans="2:16">
      <c r="B16" s="20" t="s">
        <v>7</v>
      </c>
      <c r="C16" s="9">
        <v>10</v>
      </c>
      <c r="D16" s="21">
        <v>3</v>
      </c>
      <c r="E16" s="21">
        <v>3</v>
      </c>
      <c r="F16" s="21">
        <v>1</v>
      </c>
      <c r="G16" s="21">
        <v>3</v>
      </c>
      <c r="H16" s="21">
        <v>4</v>
      </c>
      <c r="I16" s="21">
        <v>4</v>
      </c>
      <c r="J16" s="21">
        <v>2</v>
      </c>
      <c r="K16" s="21">
        <v>1</v>
      </c>
      <c r="L16" s="21">
        <v>2</v>
      </c>
      <c r="M16" s="21">
        <v>0</v>
      </c>
      <c r="N16" s="21">
        <v>0</v>
      </c>
      <c r="O16" s="21">
        <v>2</v>
      </c>
      <c r="P16">
        <f t="shared" si="0"/>
        <v>25</v>
      </c>
    </row>
    <row r="17" spans="2:16">
      <c r="B17" s="20" t="s">
        <v>8</v>
      </c>
      <c r="C17" s="9">
        <v>11</v>
      </c>
      <c r="D17" s="21">
        <v>2</v>
      </c>
      <c r="E17" s="21">
        <v>4</v>
      </c>
      <c r="F17" s="21">
        <v>1</v>
      </c>
      <c r="G17" s="21">
        <v>4</v>
      </c>
      <c r="H17" s="21">
        <v>3</v>
      </c>
      <c r="I17" s="21">
        <v>3</v>
      </c>
      <c r="J17" s="21">
        <v>1</v>
      </c>
      <c r="K17" s="21">
        <v>4</v>
      </c>
      <c r="L17" s="21">
        <v>1</v>
      </c>
      <c r="M17" s="21">
        <v>3</v>
      </c>
      <c r="N17" s="21">
        <v>0</v>
      </c>
      <c r="O17" s="21">
        <v>4</v>
      </c>
      <c r="P17" s="22">
        <f t="shared" si="0"/>
        <v>30</v>
      </c>
    </row>
    <row r="18" spans="2:16">
      <c r="B18" s="20" t="s">
        <v>9</v>
      </c>
      <c r="C18" s="9">
        <v>12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>
        <f t="shared" si="0"/>
        <v>0</v>
      </c>
    </row>
    <row r="19" spans="2:16">
      <c r="D19">
        <f>SUM(D7:D18)</f>
        <v>7</v>
      </c>
      <c r="E19">
        <f t="shared" ref="E19:O19" si="1">SUM(E7:E18)</f>
        <v>29</v>
      </c>
      <c r="F19">
        <f t="shared" si="1"/>
        <v>4</v>
      </c>
      <c r="G19">
        <f t="shared" si="1"/>
        <v>7</v>
      </c>
      <c r="H19">
        <f t="shared" si="1"/>
        <v>15</v>
      </c>
      <c r="I19">
        <f t="shared" si="1"/>
        <v>15</v>
      </c>
      <c r="J19">
        <f t="shared" si="1"/>
        <v>7</v>
      </c>
      <c r="K19">
        <f t="shared" si="1"/>
        <v>12</v>
      </c>
      <c r="L19">
        <f t="shared" si="1"/>
        <v>8</v>
      </c>
      <c r="M19">
        <f t="shared" si="1"/>
        <v>3</v>
      </c>
      <c r="N19">
        <f t="shared" si="1"/>
        <v>0</v>
      </c>
      <c r="O19" s="22">
        <f t="shared" si="1"/>
        <v>31</v>
      </c>
    </row>
    <row r="21" spans="2:16" ht="19">
      <c r="D21" s="7" t="s">
        <v>94</v>
      </c>
      <c r="E21" s="53" t="s">
        <v>95</v>
      </c>
      <c r="F21" s="52">
        <f>1/O19</f>
        <v>3.2258064516129031E-2</v>
      </c>
      <c r="G21" s="7"/>
      <c r="H21" s="7"/>
      <c r="I21" s="7"/>
      <c r="J21" s="7"/>
      <c r="K21" s="7"/>
      <c r="L21" s="7"/>
      <c r="M21" s="7"/>
      <c r="N21" s="7"/>
      <c r="O21" s="7"/>
    </row>
    <row r="22" spans="2:16"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2:16"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2:16" ht="103">
      <c r="B24" s="54" t="s">
        <v>96</v>
      </c>
      <c r="D24" s="13" t="s">
        <v>1</v>
      </c>
      <c r="E24" s="13" t="s">
        <v>2</v>
      </c>
      <c r="F24" s="13" t="s">
        <v>3</v>
      </c>
      <c r="G24" s="13" t="s">
        <v>10</v>
      </c>
      <c r="H24" s="13" t="s">
        <v>11</v>
      </c>
      <c r="I24" s="13" t="s">
        <v>12</v>
      </c>
      <c r="J24" s="13" t="s">
        <v>4</v>
      </c>
      <c r="K24" s="13" t="s">
        <v>5</v>
      </c>
      <c r="L24" s="13" t="s">
        <v>6</v>
      </c>
      <c r="M24" s="13" t="s">
        <v>7</v>
      </c>
      <c r="N24" s="13" t="s">
        <v>8</v>
      </c>
      <c r="O24" s="13" t="s">
        <v>9</v>
      </c>
    </row>
    <row r="25" spans="2:16">
      <c r="C25" s="4"/>
      <c r="D25" s="9">
        <v>1</v>
      </c>
      <c r="E25" s="9">
        <v>2</v>
      </c>
      <c r="F25" s="9">
        <v>3</v>
      </c>
      <c r="G25" s="9">
        <v>4</v>
      </c>
      <c r="H25" s="9">
        <v>5</v>
      </c>
      <c r="I25" s="9">
        <v>6</v>
      </c>
      <c r="J25" s="9">
        <v>7</v>
      </c>
      <c r="K25" s="9">
        <v>8</v>
      </c>
      <c r="L25" s="9">
        <v>9</v>
      </c>
      <c r="M25" s="9">
        <v>10</v>
      </c>
      <c r="N25" s="9">
        <v>11</v>
      </c>
      <c r="O25" s="9">
        <v>12</v>
      </c>
    </row>
    <row r="26" spans="2:16">
      <c r="B26" s="20" t="s">
        <v>1</v>
      </c>
      <c r="C26" s="9">
        <v>1</v>
      </c>
      <c r="D26" s="21">
        <f>D7*$F$21</f>
        <v>0</v>
      </c>
      <c r="E26" s="21">
        <f t="shared" ref="E26:O26" si="2">E7*$F$21</f>
        <v>6.4516129032258063E-2</v>
      </c>
      <c r="F26" s="21">
        <f t="shared" si="2"/>
        <v>0</v>
      </c>
      <c r="G26" s="21">
        <f t="shared" si="2"/>
        <v>0</v>
      </c>
      <c r="H26" s="21">
        <f t="shared" si="2"/>
        <v>9.6774193548387094E-2</v>
      </c>
      <c r="I26" s="21">
        <f t="shared" si="2"/>
        <v>0.12903225806451613</v>
      </c>
      <c r="J26" s="21">
        <f t="shared" si="2"/>
        <v>9.6774193548387094E-2</v>
      </c>
      <c r="K26" s="21">
        <f t="shared" si="2"/>
        <v>6.4516129032258063E-2</v>
      </c>
      <c r="L26" s="21">
        <f t="shared" si="2"/>
        <v>6.4516129032258063E-2</v>
      </c>
      <c r="M26" s="21">
        <f t="shared" si="2"/>
        <v>0</v>
      </c>
      <c r="N26" s="21">
        <f t="shared" si="2"/>
        <v>0</v>
      </c>
      <c r="O26" s="21">
        <f t="shared" si="2"/>
        <v>9.6774193548387094E-2</v>
      </c>
    </row>
    <row r="27" spans="2:16">
      <c r="B27" s="20" t="s">
        <v>2</v>
      </c>
      <c r="C27" s="9">
        <v>2</v>
      </c>
      <c r="D27" s="21">
        <f t="shared" ref="D27:O27" si="3">D8*$F$21</f>
        <v>0</v>
      </c>
      <c r="E27" s="21">
        <f t="shared" si="3"/>
        <v>0</v>
      </c>
      <c r="F27" s="21">
        <f t="shared" si="3"/>
        <v>0</v>
      </c>
      <c r="G27" s="21">
        <f t="shared" si="3"/>
        <v>0</v>
      </c>
      <c r="H27" s="21">
        <f t="shared" si="3"/>
        <v>0</v>
      </c>
      <c r="I27" s="21">
        <f t="shared" si="3"/>
        <v>6.4516129032258063E-2</v>
      </c>
      <c r="J27" s="21">
        <f t="shared" si="3"/>
        <v>0</v>
      </c>
      <c r="K27" s="21">
        <f t="shared" si="3"/>
        <v>0</v>
      </c>
      <c r="L27" s="21">
        <f t="shared" si="3"/>
        <v>0</v>
      </c>
      <c r="M27" s="21">
        <f t="shared" si="3"/>
        <v>0</v>
      </c>
      <c r="N27" s="21">
        <f t="shared" si="3"/>
        <v>0</v>
      </c>
      <c r="O27" s="21">
        <f t="shared" si="3"/>
        <v>6.4516129032258063E-2</v>
      </c>
    </row>
    <row r="28" spans="2:16">
      <c r="B28" s="20" t="s">
        <v>3</v>
      </c>
      <c r="C28" s="9">
        <v>3</v>
      </c>
      <c r="D28" s="21">
        <f t="shared" ref="D28:O28" si="4">D9*$F$21</f>
        <v>6.4516129032258063E-2</v>
      </c>
      <c r="E28" s="21">
        <f t="shared" si="4"/>
        <v>9.6774193548387094E-2</v>
      </c>
      <c r="F28" s="21">
        <f t="shared" si="4"/>
        <v>0</v>
      </c>
      <c r="G28" s="21">
        <f t="shared" si="4"/>
        <v>0</v>
      </c>
      <c r="H28" s="21">
        <f t="shared" si="4"/>
        <v>9.6774193548387094E-2</v>
      </c>
      <c r="I28" s="21">
        <f t="shared" si="4"/>
        <v>0</v>
      </c>
      <c r="J28" s="21">
        <f t="shared" si="4"/>
        <v>3.2258064516129031E-2</v>
      </c>
      <c r="K28" s="21">
        <f t="shared" si="4"/>
        <v>0</v>
      </c>
      <c r="L28" s="21">
        <f t="shared" si="4"/>
        <v>0</v>
      </c>
      <c r="M28" s="21">
        <f t="shared" si="4"/>
        <v>0</v>
      </c>
      <c r="N28" s="21">
        <f t="shared" si="4"/>
        <v>0</v>
      </c>
      <c r="O28" s="21">
        <f t="shared" si="4"/>
        <v>6.4516129032258063E-2</v>
      </c>
    </row>
    <row r="29" spans="2:16">
      <c r="B29" s="20" t="s">
        <v>10</v>
      </c>
      <c r="C29" s="9">
        <v>4</v>
      </c>
      <c r="D29" s="21">
        <f t="shared" ref="D29:O29" si="5">D10*$F$21</f>
        <v>0</v>
      </c>
      <c r="E29" s="21">
        <f t="shared" si="5"/>
        <v>0.12903225806451613</v>
      </c>
      <c r="F29" s="21">
        <f t="shared" si="5"/>
        <v>0</v>
      </c>
      <c r="G29" s="21">
        <f t="shared" si="5"/>
        <v>0</v>
      </c>
      <c r="H29" s="21">
        <f t="shared" si="5"/>
        <v>0</v>
      </c>
      <c r="I29" s="21">
        <f t="shared" si="5"/>
        <v>3.2258064516129031E-2</v>
      </c>
      <c r="J29" s="21">
        <f t="shared" si="5"/>
        <v>0</v>
      </c>
      <c r="K29" s="21">
        <f t="shared" si="5"/>
        <v>0</v>
      </c>
      <c r="L29" s="21">
        <f t="shared" si="5"/>
        <v>0</v>
      </c>
      <c r="M29" s="21">
        <f t="shared" si="5"/>
        <v>0</v>
      </c>
      <c r="N29" s="21">
        <f t="shared" si="5"/>
        <v>0</v>
      </c>
      <c r="O29" s="21">
        <f t="shared" si="5"/>
        <v>9.6774193548387094E-2</v>
      </c>
    </row>
    <row r="30" spans="2:16">
      <c r="B30" s="20" t="s">
        <v>11</v>
      </c>
      <c r="C30" s="9">
        <v>5</v>
      </c>
      <c r="D30" s="21">
        <f t="shared" ref="D30:O30" si="6">D11*$F$21</f>
        <v>0</v>
      </c>
      <c r="E30" s="21">
        <f t="shared" si="6"/>
        <v>0.12903225806451613</v>
      </c>
      <c r="F30" s="21">
        <f t="shared" si="6"/>
        <v>0</v>
      </c>
      <c r="G30" s="21">
        <f t="shared" si="6"/>
        <v>0</v>
      </c>
      <c r="H30" s="21">
        <f t="shared" si="6"/>
        <v>0</v>
      </c>
      <c r="I30" s="21">
        <f t="shared" si="6"/>
        <v>0</v>
      </c>
      <c r="J30" s="21">
        <f t="shared" si="6"/>
        <v>0</v>
      </c>
      <c r="K30" s="21">
        <f t="shared" si="6"/>
        <v>3.2258064516129031E-2</v>
      </c>
      <c r="L30" s="21">
        <f t="shared" si="6"/>
        <v>6.4516129032258063E-2</v>
      </c>
      <c r="M30" s="21">
        <f t="shared" si="6"/>
        <v>0</v>
      </c>
      <c r="N30" s="21">
        <f t="shared" si="6"/>
        <v>0</v>
      </c>
      <c r="O30" s="21">
        <f t="shared" si="6"/>
        <v>0.12903225806451613</v>
      </c>
    </row>
    <row r="31" spans="2:16">
      <c r="B31" s="20" t="s">
        <v>12</v>
      </c>
      <c r="C31" s="9">
        <v>6</v>
      </c>
      <c r="D31" s="21">
        <f t="shared" ref="D31:O31" si="7">D12*$F$21</f>
        <v>0</v>
      </c>
      <c r="E31" s="21">
        <f t="shared" si="7"/>
        <v>3.2258064516129031E-2</v>
      </c>
      <c r="F31" s="21">
        <f t="shared" si="7"/>
        <v>0</v>
      </c>
      <c r="G31" s="21">
        <f t="shared" si="7"/>
        <v>0</v>
      </c>
      <c r="H31" s="21">
        <f t="shared" si="7"/>
        <v>3.2258064516129031E-2</v>
      </c>
      <c r="I31" s="21">
        <f t="shared" si="7"/>
        <v>0</v>
      </c>
      <c r="J31" s="21">
        <f t="shared" si="7"/>
        <v>0</v>
      </c>
      <c r="K31" s="21">
        <f t="shared" si="7"/>
        <v>0</v>
      </c>
      <c r="L31" s="21">
        <f t="shared" si="7"/>
        <v>0</v>
      </c>
      <c r="M31" s="21">
        <f t="shared" si="7"/>
        <v>0</v>
      </c>
      <c r="N31" s="21">
        <f t="shared" si="7"/>
        <v>0</v>
      </c>
      <c r="O31" s="21">
        <f t="shared" si="7"/>
        <v>9.6774193548387094E-2</v>
      </c>
    </row>
    <row r="32" spans="2:16">
      <c r="B32" s="20" t="s">
        <v>4</v>
      </c>
      <c r="C32" s="9">
        <v>7</v>
      </c>
      <c r="D32" s="21">
        <f t="shared" ref="D32:O32" si="8">D13*$F$21</f>
        <v>0</v>
      </c>
      <c r="E32" s="21">
        <f t="shared" si="8"/>
        <v>9.6774193548387094E-2</v>
      </c>
      <c r="F32" s="21">
        <f t="shared" si="8"/>
        <v>0</v>
      </c>
      <c r="G32" s="21">
        <f t="shared" si="8"/>
        <v>0</v>
      </c>
      <c r="H32" s="21">
        <f t="shared" si="8"/>
        <v>3.2258064516129031E-2</v>
      </c>
      <c r="I32" s="21">
        <f t="shared" si="8"/>
        <v>3.2258064516129031E-2</v>
      </c>
      <c r="J32" s="21">
        <f t="shared" si="8"/>
        <v>0</v>
      </c>
      <c r="K32" s="21">
        <f t="shared" si="8"/>
        <v>3.2258064516129031E-2</v>
      </c>
      <c r="L32" s="21">
        <f t="shared" si="8"/>
        <v>3.2258064516129031E-2</v>
      </c>
      <c r="M32" s="21">
        <f t="shared" si="8"/>
        <v>0</v>
      </c>
      <c r="N32" s="21">
        <f t="shared" si="8"/>
        <v>0</v>
      </c>
      <c r="O32" s="21">
        <f t="shared" si="8"/>
        <v>6.4516129032258063E-2</v>
      </c>
    </row>
    <row r="33" spans="2:15">
      <c r="B33" s="20" t="s">
        <v>5</v>
      </c>
      <c r="C33" s="9">
        <v>8</v>
      </c>
      <c r="D33" s="21">
        <f t="shared" ref="D33:O33" si="9">D14*$F$21</f>
        <v>0</v>
      </c>
      <c r="E33" s="21">
        <f t="shared" si="9"/>
        <v>0.12903225806451613</v>
      </c>
      <c r="F33" s="21">
        <f t="shared" si="9"/>
        <v>6.4516129032258063E-2</v>
      </c>
      <c r="G33" s="21">
        <f t="shared" si="9"/>
        <v>0</v>
      </c>
      <c r="H33" s="21">
        <f t="shared" si="9"/>
        <v>0</v>
      </c>
      <c r="I33" s="21">
        <f t="shared" si="9"/>
        <v>0</v>
      </c>
      <c r="J33" s="21">
        <f t="shared" si="9"/>
        <v>0</v>
      </c>
      <c r="K33" s="21">
        <f t="shared" si="9"/>
        <v>0</v>
      </c>
      <c r="L33" s="21">
        <f t="shared" si="9"/>
        <v>0</v>
      </c>
      <c r="M33" s="21">
        <f t="shared" si="9"/>
        <v>0</v>
      </c>
      <c r="N33" s="21">
        <f t="shared" si="9"/>
        <v>0</v>
      </c>
      <c r="O33" s="21">
        <f t="shared" si="9"/>
        <v>9.6774193548387094E-2</v>
      </c>
    </row>
    <row r="34" spans="2:15">
      <c r="B34" s="20" t="s">
        <v>6</v>
      </c>
      <c r="C34" s="9">
        <v>9</v>
      </c>
      <c r="D34" s="21">
        <f t="shared" ref="D34:O34" si="10">D15*$F$21</f>
        <v>0</v>
      </c>
      <c r="E34" s="21">
        <f t="shared" si="10"/>
        <v>3.2258064516129031E-2</v>
      </c>
      <c r="F34" s="21">
        <f t="shared" si="10"/>
        <v>0</v>
      </c>
      <c r="G34" s="21">
        <f t="shared" si="10"/>
        <v>0</v>
      </c>
      <c r="H34" s="21">
        <f t="shared" si="10"/>
        <v>0</v>
      </c>
      <c r="I34" s="21">
        <f t="shared" si="10"/>
        <v>0</v>
      </c>
      <c r="J34" s="21">
        <f t="shared" si="10"/>
        <v>0</v>
      </c>
      <c r="K34" s="21">
        <f t="shared" si="10"/>
        <v>9.6774193548387094E-2</v>
      </c>
      <c r="L34" s="21">
        <f t="shared" si="10"/>
        <v>0</v>
      </c>
      <c r="M34" s="21">
        <f t="shared" si="10"/>
        <v>0</v>
      </c>
      <c r="N34" s="21">
        <f t="shared" si="10"/>
        <v>0</v>
      </c>
      <c r="O34" s="21">
        <f t="shared" si="10"/>
        <v>9.6774193548387094E-2</v>
      </c>
    </row>
    <row r="35" spans="2:15">
      <c r="B35" s="20" t="s">
        <v>7</v>
      </c>
      <c r="C35" s="9">
        <v>10</v>
      </c>
      <c r="D35" s="21">
        <f t="shared" ref="D35:O35" si="11">D16*$F$21</f>
        <v>9.6774193548387094E-2</v>
      </c>
      <c r="E35" s="21">
        <f t="shared" si="11"/>
        <v>9.6774193548387094E-2</v>
      </c>
      <c r="F35" s="21">
        <f t="shared" si="11"/>
        <v>3.2258064516129031E-2</v>
      </c>
      <c r="G35" s="21">
        <f t="shared" si="11"/>
        <v>9.6774193548387094E-2</v>
      </c>
      <c r="H35" s="21">
        <f t="shared" si="11"/>
        <v>0.12903225806451613</v>
      </c>
      <c r="I35" s="21">
        <f t="shared" si="11"/>
        <v>0.12903225806451613</v>
      </c>
      <c r="J35" s="21">
        <f t="shared" si="11"/>
        <v>6.4516129032258063E-2</v>
      </c>
      <c r="K35" s="21">
        <f t="shared" si="11"/>
        <v>3.2258064516129031E-2</v>
      </c>
      <c r="L35" s="21">
        <f t="shared" si="11"/>
        <v>6.4516129032258063E-2</v>
      </c>
      <c r="M35" s="21">
        <f t="shared" si="11"/>
        <v>0</v>
      </c>
      <c r="N35" s="21">
        <f t="shared" si="11"/>
        <v>0</v>
      </c>
      <c r="O35" s="21">
        <f t="shared" si="11"/>
        <v>6.4516129032258063E-2</v>
      </c>
    </row>
    <row r="36" spans="2:15">
      <c r="B36" s="20" t="s">
        <v>8</v>
      </c>
      <c r="C36" s="9">
        <v>11</v>
      </c>
      <c r="D36" s="21">
        <f t="shared" ref="D36:O36" si="12">D17*$F$21</f>
        <v>6.4516129032258063E-2</v>
      </c>
      <c r="E36" s="21">
        <f t="shared" si="12"/>
        <v>0.12903225806451613</v>
      </c>
      <c r="F36" s="21">
        <f t="shared" si="12"/>
        <v>3.2258064516129031E-2</v>
      </c>
      <c r="G36" s="21">
        <f t="shared" si="12"/>
        <v>0.12903225806451613</v>
      </c>
      <c r="H36" s="21">
        <f t="shared" si="12"/>
        <v>9.6774193548387094E-2</v>
      </c>
      <c r="I36" s="21">
        <f t="shared" si="12"/>
        <v>9.6774193548387094E-2</v>
      </c>
      <c r="J36" s="21">
        <f t="shared" si="12"/>
        <v>3.2258064516129031E-2</v>
      </c>
      <c r="K36" s="21">
        <f t="shared" si="12"/>
        <v>0.12903225806451613</v>
      </c>
      <c r="L36" s="21">
        <f t="shared" si="12"/>
        <v>3.2258064516129031E-2</v>
      </c>
      <c r="M36" s="21">
        <f t="shared" si="12"/>
        <v>9.6774193548387094E-2</v>
      </c>
      <c r="N36" s="21">
        <f t="shared" si="12"/>
        <v>0</v>
      </c>
      <c r="O36" s="21">
        <f t="shared" si="12"/>
        <v>0.12903225806451613</v>
      </c>
    </row>
    <row r="37" spans="2:15">
      <c r="B37" s="20" t="s">
        <v>9</v>
      </c>
      <c r="C37" s="9">
        <v>12</v>
      </c>
      <c r="D37" s="21">
        <f t="shared" ref="D37:O37" si="13">D18*$F$21</f>
        <v>0</v>
      </c>
      <c r="E37" s="21">
        <f t="shared" si="13"/>
        <v>0</v>
      </c>
      <c r="F37" s="21">
        <f t="shared" si="13"/>
        <v>0</v>
      </c>
      <c r="G37" s="21">
        <f t="shared" si="13"/>
        <v>0</v>
      </c>
      <c r="H37" s="21">
        <f t="shared" si="13"/>
        <v>0</v>
      </c>
      <c r="I37" s="21">
        <f t="shared" si="13"/>
        <v>0</v>
      </c>
      <c r="J37" s="21">
        <f t="shared" si="13"/>
        <v>0</v>
      </c>
      <c r="K37" s="21">
        <f t="shared" si="13"/>
        <v>0</v>
      </c>
      <c r="L37" s="21">
        <f t="shared" si="13"/>
        <v>0</v>
      </c>
      <c r="M37" s="21">
        <f t="shared" si="13"/>
        <v>0</v>
      </c>
      <c r="N37" s="21">
        <f t="shared" si="13"/>
        <v>0</v>
      </c>
      <c r="O37" s="21">
        <f t="shared" si="13"/>
        <v>0</v>
      </c>
    </row>
    <row r="41" spans="2:15" ht="103">
      <c r="B41" s="54" t="s">
        <v>97</v>
      </c>
      <c r="D41" s="13" t="s">
        <v>1</v>
      </c>
      <c r="E41" s="13" t="s">
        <v>2</v>
      </c>
      <c r="F41" s="13" t="s">
        <v>3</v>
      </c>
      <c r="G41" s="13" t="s">
        <v>10</v>
      </c>
      <c r="H41" s="13" t="s">
        <v>11</v>
      </c>
      <c r="I41" s="13" t="s">
        <v>12</v>
      </c>
      <c r="J41" s="13" t="s">
        <v>4</v>
      </c>
      <c r="K41" s="13" t="s">
        <v>5</v>
      </c>
      <c r="L41" s="13" t="s">
        <v>6</v>
      </c>
      <c r="M41" s="13" t="s">
        <v>7</v>
      </c>
      <c r="N41" s="13" t="s">
        <v>8</v>
      </c>
      <c r="O41" s="13" t="s">
        <v>9</v>
      </c>
    </row>
    <row r="42" spans="2:15">
      <c r="C42" s="4"/>
      <c r="D42" s="9">
        <v>1</v>
      </c>
      <c r="E42" s="9">
        <v>2</v>
      </c>
      <c r="F42" s="9">
        <v>3</v>
      </c>
      <c r="G42" s="9">
        <v>4</v>
      </c>
      <c r="H42" s="9">
        <v>5</v>
      </c>
      <c r="I42" s="9">
        <v>6</v>
      </c>
      <c r="J42" s="9">
        <v>7</v>
      </c>
      <c r="K42" s="9">
        <v>8</v>
      </c>
      <c r="L42" s="9">
        <v>9</v>
      </c>
      <c r="M42" s="9">
        <v>10</v>
      </c>
      <c r="N42" s="9">
        <v>11</v>
      </c>
      <c r="O42" s="9">
        <v>12</v>
      </c>
    </row>
    <row r="43" spans="2:15">
      <c r="B43" s="20" t="s">
        <v>1</v>
      </c>
      <c r="C43" s="9">
        <v>1</v>
      </c>
      <c r="D43" s="21">
        <v>1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</row>
    <row r="44" spans="2:15">
      <c r="B44" s="20" t="s">
        <v>2</v>
      </c>
      <c r="C44" s="9">
        <v>2</v>
      </c>
      <c r="D44" s="21">
        <v>0</v>
      </c>
      <c r="E44" s="21">
        <v>1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</row>
    <row r="45" spans="2:15">
      <c r="B45" s="20" t="s">
        <v>3</v>
      </c>
      <c r="C45" s="9">
        <v>3</v>
      </c>
      <c r="D45" s="21">
        <v>0</v>
      </c>
      <c r="E45" s="21">
        <v>0</v>
      </c>
      <c r="F45" s="21">
        <v>1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</row>
    <row r="46" spans="2:15">
      <c r="B46" s="20" t="s">
        <v>10</v>
      </c>
      <c r="C46" s="9">
        <v>4</v>
      </c>
      <c r="D46" s="21">
        <v>0</v>
      </c>
      <c r="E46" s="21">
        <v>0</v>
      </c>
      <c r="F46" s="21">
        <v>0</v>
      </c>
      <c r="G46" s="21">
        <v>1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</row>
    <row r="47" spans="2:15">
      <c r="B47" s="20" t="s">
        <v>11</v>
      </c>
      <c r="C47" s="9">
        <v>5</v>
      </c>
      <c r="D47" s="21">
        <v>0</v>
      </c>
      <c r="E47" s="21">
        <v>0</v>
      </c>
      <c r="F47" s="21">
        <v>0</v>
      </c>
      <c r="G47" s="21">
        <v>0</v>
      </c>
      <c r="H47" s="21">
        <v>1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</row>
    <row r="48" spans="2:15">
      <c r="B48" s="20" t="s">
        <v>12</v>
      </c>
      <c r="C48" s="9">
        <v>6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1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</row>
    <row r="49" spans="2:15">
      <c r="B49" s="20" t="s">
        <v>4</v>
      </c>
      <c r="C49" s="9">
        <v>7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1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</row>
    <row r="50" spans="2:15">
      <c r="B50" s="20" t="s">
        <v>5</v>
      </c>
      <c r="C50" s="9">
        <v>8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1</v>
      </c>
      <c r="L50" s="21">
        <v>0</v>
      </c>
      <c r="M50" s="21">
        <v>0</v>
      </c>
      <c r="N50" s="21">
        <v>0</v>
      </c>
      <c r="O50" s="21">
        <v>0</v>
      </c>
    </row>
    <row r="51" spans="2:15">
      <c r="B51" s="20" t="s">
        <v>6</v>
      </c>
      <c r="C51" s="9">
        <v>9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1</v>
      </c>
      <c r="M51" s="21">
        <v>0</v>
      </c>
      <c r="N51" s="21">
        <v>0</v>
      </c>
      <c r="O51" s="21">
        <v>0</v>
      </c>
    </row>
    <row r="52" spans="2:15">
      <c r="B52" s="20" t="s">
        <v>7</v>
      </c>
      <c r="C52" s="9">
        <v>10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1</v>
      </c>
      <c r="N52" s="21">
        <v>0</v>
      </c>
      <c r="O52" s="21">
        <v>0</v>
      </c>
    </row>
    <row r="53" spans="2:15">
      <c r="B53" s="20" t="s">
        <v>8</v>
      </c>
      <c r="C53" s="9">
        <v>11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1</v>
      </c>
      <c r="O53" s="21">
        <v>0</v>
      </c>
    </row>
    <row r="54" spans="2:15">
      <c r="B54" s="20" t="s">
        <v>9</v>
      </c>
      <c r="C54" s="9">
        <v>12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1</v>
      </c>
    </row>
    <row r="58" spans="2:15" ht="103">
      <c r="B58" s="54" t="s">
        <v>98</v>
      </c>
      <c r="D58" s="13" t="s">
        <v>1</v>
      </c>
      <c r="E58" s="13" t="s">
        <v>2</v>
      </c>
      <c r="F58" s="13" t="s">
        <v>3</v>
      </c>
      <c r="G58" s="13" t="s">
        <v>10</v>
      </c>
      <c r="H58" s="13" t="s">
        <v>11</v>
      </c>
      <c r="I58" s="13" t="s">
        <v>12</v>
      </c>
      <c r="J58" s="13" t="s">
        <v>4</v>
      </c>
      <c r="K58" s="13" t="s">
        <v>5</v>
      </c>
      <c r="L58" s="13" t="s">
        <v>6</v>
      </c>
      <c r="M58" s="13" t="s">
        <v>7</v>
      </c>
      <c r="N58" s="13" t="s">
        <v>8</v>
      </c>
      <c r="O58" s="13" t="s">
        <v>9</v>
      </c>
    </row>
    <row r="59" spans="2:15">
      <c r="C59" s="4"/>
      <c r="D59" s="9">
        <v>1</v>
      </c>
      <c r="E59" s="9">
        <v>2</v>
      </c>
      <c r="F59" s="9">
        <v>3</v>
      </c>
      <c r="G59" s="9">
        <v>4</v>
      </c>
      <c r="H59" s="9">
        <v>5</v>
      </c>
      <c r="I59" s="9">
        <v>6</v>
      </c>
      <c r="J59" s="9">
        <v>7</v>
      </c>
      <c r="K59" s="9">
        <v>8</v>
      </c>
      <c r="L59" s="9">
        <v>9</v>
      </c>
      <c r="M59" s="9">
        <v>10</v>
      </c>
      <c r="N59" s="9">
        <v>11</v>
      </c>
      <c r="O59" s="9">
        <v>12</v>
      </c>
    </row>
    <row r="60" spans="2:15">
      <c r="B60" s="20" t="s">
        <v>1</v>
      </c>
      <c r="C60" s="9">
        <v>1</v>
      </c>
      <c r="D60" s="21">
        <f>D43-D26</f>
        <v>1</v>
      </c>
      <c r="E60" s="21">
        <f t="shared" ref="E60:O60" si="14">E43-E26</f>
        <v>-6.4516129032258063E-2</v>
      </c>
      <c r="F60" s="21">
        <f t="shared" si="14"/>
        <v>0</v>
      </c>
      <c r="G60" s="21">
        <f t="shared" si="14"/>
        <v>0</v>
      </c>
      <c r="H60" s="21">
        <f t="shared" si="14"/>
        <v>-9.6774193548387094E-2</v>
      </c>
      <c r="I60" s="21">
        <f t="shared" si="14"/>
        <v>-0.12903225806451613</v>
      </c>
      <c r="J60" s="21">
        <f t="shared" si="14"/>
        <v>-9.6774193548387094E-2</v>
      </c>
      <c r="K60" s="21">
        <f t="shared" si="14"/>
        <v>-6.4516129032258063E-2</v>
      </c>
      <c r="L60" s="21">
        <f t="shared" si="14"/>
        <v>-6.4516129032258063E-2</v>
      </c>
      <c r="M60" s="21">
        <f t="shared" si="14"/>
        <v>0</v>
      </c>
      <c r="N60" s="21">
        <f t="shared" si="14"/>
        <v>0</v>
      </c>
      <c r="O60" s="21">
        <f t="shared" si="14"/>
        <v>-9.6774193548387094E-2</v>
      </c>
    </row>
    <row r="61" spans="2:15">
      <c r="B61" s="20" t="s">
        <v>2</v>
      </c>
      <c r="C61" s="9">
        <v>2</v>
      </c>
      <c r="D61" s="21">
        <f t="shared" ref="D61:O61" si="15">D44-D27</f>
        <v>0</v>
      </c>
      <c r="E61" s="21">
        <f t="shared" si="15"/>
        <v>1</v>
      </c>
      <c r="F61" s="21">
        <f t="shared" si="15"/>
        <v>0</v>
      </c>
      <c r="G61" s="21">
        <f t="shared" si="15"/>
        <v>0</v>
      </c>
      <c r="H61" s="21">
        <f t="shared" si="15"/>
        <v>0</v>
      </c>
      <c r="I61" s="21">
        <f t="shared" si="15"/>
        <v>-6.4516129032258063E-2</v>
      </c>
      <c r="J61" s="21">
        <f t="shared" si="15"/>
        <v>0</v>
      </c>
      <c r="K61" s="21">
        <f t="shared" si="15"/>
        <v>0</v>
      </c>
      <c r="L61" s="21">
        <f t="shared" si="15"/>
        <v>0</v>
      </c>
      <c r="M61" s="21">
        <f t="shared" si="15"/>
        <v>0</v>
      </c>
      <c r="N61" s="21">
        <f t="shared" si="15"/>
        <v>0</v>
      </c>
      <c r="O61" s="21">
        <f t="shared" si="15"/>
        <v>-6.4516129032258063E-2</v>
      </c>
    </row>
    <row r="62" spans="2:15">
      <c r="B62" s="20" t="s">
        <v>3</v>
      </c>
      <c r="C62" s="9">
        <v>3</v>
      </c>
      <c r="D62" s="21">
        <f t="shared" ref="D62:O62" si="16">D45-D28</f>
        <v>-6.4516129032258063E-2</v>
      </c>
      <c r="E62" s="21">
        <f t="shared" si="16"/>
        <v>-9.6774193548387094E-2</v>
      </c>
      <c r="F62" s="21">
        <f t="shared" si="16"/>
        <v>1</v>
      </c>
      <c r="G62" s="21">
        <f t="shared" si="16"/>
        <v>0</v>
      </c>
      <c r="H62" s="21">
        <f t="shared" si="16"/>
        <v>-9.6774193548387094E-2</v>
      </c>
      <c r="I62" s="21">
        <f t="shared" si="16"/>
        <v>0</v>
      </c>
      <c r="J62" s="21">
        <f t="shared" si="16"/>
        <v>-3.2258064516129031E-2</v>
      </c>
      <c r="K62" s="21">
        <f t="shared" si="16"/>
        <v>0</v>
      </c>
      <c r="L62" s="21">
        <f t="shared" si="16"/>
        <v>0</v>
      </c>
      <c r="M62" s="21">
        <f t="shared" si="16"/>
        <v>0</v>
      </c>
      <c r="N62" s="21">
        <f t="shared" si="16"/>
        <v>0</v>
      </c>
      <c r="O62" s="21">
        <f t="shared" si="16"/>
        <v>-6.4516129032258063E-2</v>
      </c>
    </row>
    <row r="63" spans="2:15">
      <c r="B63" s="20" t="s">
        <v>10</v>
      </c>
      <c r="C63" s="9">
        <v>4</v>
      </c>
      <c r="D63" s="21">
        <f t="shared" ref="D63:O63" si="17">D46-D29</f>
        <v>0</v>
      </c>
      <c r="E63" s="21">
        <f t="shared" si="17"/>
        <v>-0.12903225806451613</v>
      </c>
      <c r="F63" s="21">
        <f t="shared" si="17"/>
        <v>0</v>
      </c>
      <c r="G63" s="21">
        <f t="shared" si="17"/>
        <v>1</v>
      </c>
      <c r="H63" s="21">
        <f t="shared" si="17"/>
        <v>0</v>
      </c>
      <c r="I63" s="21">
        <f t="shared" si="17"/>
        <v>-3.2258064516129031E-2</v>
      </c>
      <c r="J63" s="21">
        <f t="shared" si="17"/>
        <v>0</v>
      </c>
      <c r="K63" s="21">
        <f t="shared" si="17"/>
        <v>0</v>
      </c>
      <c r="L63" s="21">
        <f t="shared" si="17"/>
        <v>0</v>
      </c>
      <c r="M63" s="21">
        <f t="shared" si="17"/>
        <v>0</v>
      </c>
      <c r="N63" s="21">
        <f t="shared" si="17"/>
        <v>0</v>
      </c>
      <c r="O63" s="21">
        <f t="shared" si="17"/>
        <v>-9.6774193548387094E-2</v>
      </c>
    </row>
    <row r="64" spans="2:15">
      <c r="B64" s="20" t="s">
        <v>11</v>
      </c>
      <c r="C64" s="9">
        <v>5</v>
      </c>
      <c r="D64" s="21">
        <f t="shared" ref="D64:O64" si="18">D47-D30</f>
        <v>0</v>
      </c>
      <c r="E64" s="21">
        <f t="shared" si="18"/>
        <v>-0.12903225806451613</v>
      </c>
      <c r="F64" s="21">
        <f t="shared" si="18"/>
        <v>0</v>
      </c>
      <c r="G64" s="21">
        <f t="shared" si="18"/>
        <v>0</v>
      </c>
      <c r="H64" s="21">
        <f t="shared" si="18"/>
        <v>1</v>
      </c>
      <c r="I64" s="21">
        <f t="shared" si="18"/>
        <v>0</v>
      </c>
      <c r="J64" s="21">
        <f t="shared" si="18"/>
        <v>0</v>
      </c>
      <c r="K64" s="21">
        <f t="shared" si="18"/>
        <v>-3.2258064516129031E-2</v>
      </c>
      <c r="L64" s="21">
        <f t="shared" si="18"/>
        <v>-6.4516129032258063E-2</v>
      </c>
      <c r="M64" s="21">
        <f t="shared" si="18"/>
        <v>0</v>
      </c>
      <c r="N64" s="21">
        <f t="shared" si="18"/>
        <v>0</v>
      </c>
      <c r="O64" s="21">
        <f t="shared" si="18"/>
        <v>-0.12903225806451613</v>
      </c>
    </row>
    <row r="65" spans="2:15">
      <c r="B65" s="20" t="s">
        <v>12</v>
      </c>
      <c r="C65" s="9">
        <v>6</v>
      </c>
      <c r="D65" s="21">
        <f t="shared" ref="D65:O65" si="19">D48-D31</f>
        <v>0</v>
      </c>
      <c r="E65" s="21">
        <f t="shared" si="19"/>
        <v>-3.2258064516129031E-2</v>
      </c>
      <c r="F65" s="21">
        <f t="shared" si="19"/>
        <v>0</v>
      </c>
      <c r="G65" s="21">
        <f t="shared" si="19"/>
        <v>0</v>
      </c>
      <c r="H65" s="21">
        <f t="shared" si="19"/>
        <v>-3.2258064516129031E-2</v>
      </c>
      <c r="I65" s="21">
        <f t="shared" si="19"/>
        <v>1</v>
      </c>
      <c r="J65" s="21">
        <f t="shared" si="19"/>
        <v>0</v>
      </c>
      <c r="K65" s="21">
        <f t="shared" si="19"/>
        <v>0</v>
      </c>
      <c r="L65" s="21">
        <f t="shared" si="19"/>
        <v>0</v>
      </c>
      <c r="M65" s="21">
        <f t="shared" si="19"/>
        <v>0</v>
      </c>
      <c r="N65" s="21">
        <f t="shared" si="19"/>
        <v>0</v>
      </c>
      <c r="O65" s="21">
        <f t="shared" si="19"/>
        <v>-9.6774193548387094E-2</v>
      </c>
    </row>
    <row r="66" spans="2:15">
      <c r="B66" s="20" t="s">
        <v>4</v>
      </c>
      <c r="C66" s="9">
        <v>7</v>
      </c>
      <c r="D66" s="21">
        <f t="shared" ref="D66:O66" si="20">D49-D32</f>
        <v>0</v>
      </c>
      <c r="E66" s="21">
        <f t="shared" si="20"/>
        <v>-9.6774193548387094E-2</v>
      </c>
      <c r="F66" s="21">
        <f t="shared" si="20"/>
        <v>0</v>
      </c>
      <c r="G66" s="21">
        <f t="shared" si="20"/>
        <v>0</v>
      </c>
      <c r="H66" s="21">
        <f t="shared" si="20"/>
        <v>-3.2258064516129031E-2</v>
      </c>
      <c r="I66" s="21">
        <f t="shared" si="20"/>
        <v>-3.2258064516129031E-2</v>
      </c>
      <c r="J66" s="21">
        <f t="shared" si="20"/>
        <v>1</v>
      </c>
      <c r="K66" s="21">
        <f t="shared" si="20"/>
        <v>-3.2258064516129031E-2</v>
      </c>
      <c r="L66" s="21">
        <f t="shared" si="20"/>
        <v>-3.2258064516129031E-2</v>
      </c>
      <c r="M66" s="21">
        <f t="shared" si="20"/>
        <v>0</v>
      </c>
      <c r="N66" s="21">
        <f t="shared" si="20"/>
        <v>0</v>
      </c>
      <c r="O66" s="21">
        <f t="shared" si="20"/>
        <v>-6.4516129032258063E-2</v>
      </c>
    </row>
    <row r="67" spans="2:15">
      <c r="B67" s="20" t="s">
        <v>5</v>
      </c>
      <c r="C67" s="9">
        <v>8</v>
      </c>
      <c r="D67" s="21">
        <f t="shared" ref="D67:O67" si="21">D50-D33</f>
        <v>0</v>
      </c>
      <c r="E67" s="21">
        <f t="shared" si="21"/>
        <v>-0.12903225806451613</v>
      </c>
      <c r="F67" s="21">
        <f t="shared" si="21"/>
        <v>-6.4516129032258063E-2</v>
      </c>
      <c r="G67" s="21">
        <f t="shared" si="21"/>
        <v>0</v>
      </c>
      <c r="H67" s="21">
        <f t="shared" si="21"/>
        <v>0</v>
      </c>
      <c r="I67" s="21">
        <f t="shared" si="21"/>
        <v>0</v>
      </c>
      <c r="J67" s="21">
        <f t="shared" si="21"/>
        <v>0</v>
      </c>
      <c r="K67" s="21">
        <f t="shared" si="21"/>
        <v>1</v>
      </c>
      <c r="L67" s="21">
        <f t="shared" si="21"/>
        <v>0</v>
      </c>
      <c r="M67" s="21">
        <f t="shared" si="21"/>
        <v>0</v>
      </c>
      <c r="N67" s="21">
        <f t="shared" si="21"/>
        <v>0</v>
      </c>
      <c r="O67" s="21">
        <f t="shared" si="21"/>
        <v>-9.6774193548387094E-2</v>
      </c>
    </row>
    <row r="68" spans="2:15">
      <c r="B68" s="20" t="s">
        <v>6</v>
      </c>
      <c r="C68" s="9">
        <v>9</v>
      </c>
      <c r="D68" s="21">
        <f t="shared" ref="D68:O68" si="22">D51-D34</f>
        <v>0</v>
      </c>
      <c r="E68" s="21">
        <f t="shared" si="22"/>
        <v>-3.2258064516129031E-2</v>
      </c>
      <c r="F68" s="21">
        <f t="shared" si="22"/>
        <v>0</v>
      </c>
      <c r="G68" s="21">
        <f t="shared" si="22"/>
        <v>0</v>
      </c>
      <c r="H68" s="21">
        <f t="shared" si="22"/>
        <v>0</v>
      </c>
      <c r="I68" s="21">
        <f t="shared" si="22"/>
        <v>0</v>
      </c>
      <c r="J68" s="21">
        <f t="shared" si="22"/>
        <v>0</v>
      </c>
      <c r="K68" s="21">
        <f t="shared" si="22"/>
        <v>-9.6774193548387094E-2</v>
      </c>
      <c r="L68" s="21">
        <f t="shared" si="22"/>
        <v>1</v>
      </c>
      <c r="M68" s="21">
        <f t="shared" si="22"/>
        <v>0</v>
      </c>
      <c r="N68" s="21">
        <f t="shared" si="22"/>
        <v>0</v>
      </c>
      <c r="O68" s="21">
        <f t="shared" si="22"/>
        <v>-9.6774193548387094E-2</v>
      </c>
    </row>
    <row r="69" spans="2:15">
      <c r="B69" s="20" t="s">
        <v>7</v>
      </c>
      <c r="C69" s="9">
        <v>10</v>
      </c>
      <c r="D69" s="21">
        <f t="shared" ref="D69:O69" si="23">D52-D35</f>
        <v>-9.6774193548387094E-2</v>
      </c>
      <c r="E69" s="21">
        <f t="shared" si="23"/>
        <v>-9.6774193548387094E-2</v>
      </c>
      <c r="F69" s="21">
        <f t="shared" si="23"/>
        <v>-3.2258064516129031E-2</v>
      </c>
      <c r="G69" s="21">
        <f t="shared" si="23"/>
        <v>-9.6774193548387094E-2</v>
      </c>
      <c r="H69" s="21">
        <f t="shared" si="23"/>
        <v>-0.12903225806451613</v>
      </c>
      <c r="I69" s="21">
        <f t="shared" si="23"/>
        <v>-0.12903225806451613</v>
      </c>
      <c r="J69" s="21">
        <f t="shared" si="23"/>
        <v>-6.4516129032258063E-2</v>
      </c>
      <c r="K69" s="21">
        <f t="shared" si="23"/>
        <v>-3.2258064516129031E-2</v>
      </c>
      <c r="L69" s="21">
        <f t="shared" si="23"/>
        <v>-6.4516129032258063E-2</v>
      </c>
      <c r="M69" s="21">
        <f t="shared" si="23"/>
        <v>1</v>
      </c>
      <c r="N69" s="21">
        <f t="shared" si="23"/>
        <v>0</v>
      </c>
      <c r="O69" s="21">
        <f t="shared" si="23"/>
        <v>-6.4516129032258063E-2</v>
      </c>
    </row>
    <row r="70" spans="2:15">
      <c r="B70" s="20" t="s">
        <v>8</v>
      </c>
      <c r="C70" s="9">
        <v>11</v>
      </c>
      <c r="D70" s="21">
        <f t="shared" ref="D70:O70" si="24">D53-D36</f>
        <v>-6.4516129032258063E-2</v>
      </c>
      <c r="E70" s="21">
        <f t="shared" si="24"/>
        <v>-0.12903225806451613</v>
      </c>
      <c r="F70" s="21">
        <f t="shared" si="24"/>
        <v>-3.2258064516129031E-2</v>
      </c>
      <c r="G70" s="21">
        <f t="shared" si="24"/>
        <v>-0.12903225806451613</v>
      </c>
      <c r="H70" s="21">
        <f t="shared" si="24"/>
        <v>-9.6774193548387094E-2</v>
      </c>
      <c r="I70" s="21">
        <f t="shared" si="24"/>
        <v>-9.6774193548387094E-2</v>
      </c>
      <c r="J70" s="21">
        <f t="shared" si="24"/>
        <v>-3.2258064516129031E-2</v>
      </c>
      <c r="K70" s="21">
        <f t="shared" si="24"/>
        <v>-0.12903225806451613</v>
      </c>
      <c r="L70" s="21">
        <f t="shared" si="24"/>
        <v>-3.2258064516129031E-2</v>
      </c>
      <c r="M70" s="21">
        <f t="shared" si="24"/>
        <v>-9.6774193548387094E-2</v>
      </c>
      <c r="N70" s="21">
        <f t="shared" si="24"/>
        <v>1</v>
      </c>
      <c r="O70" s="21">
        <f t="shared" si="24"/>
        <v>-0.12903225806451613</v>
      </c>
    </row>
    <row r="71" spans="2:15">
      <c r="B71" s="20" t="s">
        <v>9</v>
      </c>
      <c r="C71" s="9">
        <v>12</v>
      </c>
      <c r="D71" s="21">
        <f t="shared" ref="D71:O71" si="25">D54-D37</f>
        <v>0</v>
      </c>
      <c r="E71" s="21">
        <f t="shared" si="25"/>
        <v>0</v>
      </c>
      <c r="F71" s="21">
        <f t="shared" si="25"/>
        <v>0</v>
      </c>
      <c r="G71" s="21">
        <f t="shared" si="25"/>
        <v>0</v>
      </c>
      <c r="H71" s="21">
        <f t="shared" si="25"/>
        <v>0</v>
      </c>
      <c r="I71" s="21">
        <f t="shared" si="25"/>
        <v>0</v>
      </c>
      <c r="J71" s="21">
        <f t="shared" si="25"/>
        <v>0</v>
      </c>
      <c r="K71" s="21">
        <f t="shared" si="25"/>
        <v>0</v>
      </c>
      <c r="L71" s="21">
        <f t="shared" si="25"/>
        <v>0</v>
      </c>
      <c r="M71" s="21">
        <f t="shared" si="25"/>
        <v>0</v>
      </c>
      <c r="N71" s="21">
        <f t="shared" si="25"/>
        <v>0</v>
      </c>
      <c r="O71" s="21">
        <f t="shared" si="25"/>
        <v>1</v>
      </c>
    </row>
    <row r="75" spans="2:15" ht="103">
      <c r="B75" s="54" t="s">
        <v>99</v>
      </c>
      <c r="D75" s="13" t="s">
        <v>1</v>
      </c>
      <c r="E75" s="13" t="s">
        <v>2</v>
      </c>
      <c r="F75" s="13" t="s">
        <v>3</v>
      </c>
      <c r="G75" s="13" t="s">
        <v>10</v>
      </c>
      <c r="H75" s="13" t="s">
        <v>11</v>
      </c>
      <c r="I75" s="13" t="s">
        <v>12</v>
      </c>
      <c r="J75" s="13" t="s">
        <v>4</v>
      </c>
      <c r="K75" s="13" t="s">
        <v>5</v>
      </c>
      <c r="L75" s="13" t="s">
        <v>6</v>
      </c>
      <c r="M75" s="13" t="s">
        <v>7</v>
      </c>
      <c r="N75" s="13" t="s">
        <v>8</v>
      </c>
      <c r="O75" s="13" t="s">
        <v>9</v>
      </c>
    </row>
    <row r="76" spans="2:15">
      <c r="C76" s="4"/>
      <c r="D76" s="9">
        <v>1</v>
      </c>
      <c r="E76" s="9">
        <v>2</v>
      </c>
      <c r="F76" s="9">
        <v>3</v>
      </c>
      <c r="G76" s="9">
        <v>4</v>
      </c>
      <c r="H76" s="9">
        <v>5</v>
      </c>
      <c r="I76" s="9">
        <v>6</v>
      </c>
      <c r="J76" s="9">
        <v>7</v>
      </c>
      <c r="K76" s="9">
        <v>8</v>
      </c>
      <c r="L76" s="9">
        <v>9</v>
      </c>
      <c r="M76" s="9">
        <v>10</v>
      </c>
      <c r="N76" s="9">
        <v>11</v>
      </c>
      <c r="O76" s="9">
        <v>12</v>
      </c>
    </row>
    <row r="77" spans="2:15">
      <c r="B77" s="20" t="s">
        <v>1</v>
      </c>
      <c r="C77" s="9">
        <v>1</v>
      </c>
      <c r="D77" s="21" cm="1">
        <f t="array" ref="D77:O88">MINVERSE(D60:O71)</f>
        <v>1.0003257124615044</v>
      </c>
      <c r="E77" s="21">
        <v>0.10492704913494372</v>
      </c>
      <c r="F77" s="21">
        <v>5.0485431533163257E-3</v>
      </c>
      <c r="G77" s="21">
        <v>0</v>
      </c>
      <c r="H77" s="21">
        <v>0.10490526219684911</v>
      </c>
      <c r="I77" s="21">
        <v>0.13897179091793013</v>
      </c>
      <c r="J77" s="21">
        <v>9.6968570339929977E-2</v>
      </c>
      <c r="K77" s="21">
        <v>7.8252418876403038E-2</v>
      </c>
      <c r="L77" s="21">
        <v>7.4433242569568944E-2</v>
      </c>
      <c r="M77" s="21">
        <v>0</v>
      </c>
      <c r="N77" s="21">
        <v>0</v>
      </c>
      <c r="O77" s="21">
        <v>0.15191802801677404</v>
      </c>
    </row>
    <row r="78" spans="2:15">
      <c r="B78" s="20" t="s">
        <v>2</v>
      </c>
      <c r="C78" s="9">
        <v>2</v>
      </c>
      <c r="D78" s="21">
        <v>3.3452520181289808E-7</v>
      </c>
      <c r="E78" s="21">
        <v>1.0023706012212432</v>
      </c>
      <c r="F78" s="21">
        <v>5.1851406280999212E-6</v>
      </c>
      <c r="G78" s="21">
        <v>0</v>
      </c>
      <c r="H78" s="21">
        <v>2.0866412672400796E-3</v>
      </c>
      <c r="I78" s="21">
        <v>6.4669120650945197E-2</v>
      </c>
      <c r="J78" s="21">
        <v>1.9963600753350368E-7</v>
      </c>
      <c r="K78" s="21">
        <v>8.0369679735548747E-5</v>
      </c>
      <c r="L78" s="21">
        <v>1.3465003938359095E-4</v>
      </c>
      <c r="M78" s="21">
        <v>0</v>
      </c>
      <c r="N78" s="21">
        <v>0</v>
      </c>
      <c r="O78" s="21">
        <v>7.1217805217758598E-2</v>
      </c>
    </row>
    <row r="79" spans="2:15">
      <c r="B79" s="20" t="s">
        <v>3</v>
      </c>
      <c r="C79" s="9">
        <v>3</v>
      </c>
      <c r="D79" s="21">
        <v>6.4557625034433908E-2</v>
      </c>
      <c r="E79" s="21">
        <v>0.12050221008417315</v>
      </c>
      <c r="F79" s="21">
        <v>1.0006431880337259</v>
      </c>
      <c r="G79" s="21">
        <v>0</v>
      </c>
      <c r="H79" s="21">
        <v>0.1048863193791876</v>
      </c>
      <c r="I79" s="21">
        <v>1.7347136933013076E-2</v>
      </c>
      <c r="J79" s="21">
        <v>3.8526324617323464E-2</v>
      </c>
      <c r="K79" s="21">
        <v>9.969414522747598E-3</v>
      </c>
      <c r="L79" s="21">
        <v>1.217465204659892E-2</v>
      </c>
      <c r="M79" s="21">
        <v>0</v>
      </c>
      <c r="N79" s="21">
        <v>0</v>
      </c>
      <c r="O79" s="21">
        <v>9.8420490599921778E-2</v>
      </c>
    </row>
    <row r="80" spans="2:15">
      <c r="B80" s="20" t="s">
        <v>10</v>
      </c>
      <c r="C80" s="9">
        <v>4</v>
      </c>
      <c r="D80" s="21">
        <v>2.1042714307585524E-7</v>
      </c>
      <c r="E80" s="21">
        <v>0.13052344270368529</v>
      </c>
      <c r="F80" s="21">
        <v>3.2616207176757564E-6</v>
      </c>
      <c r="G80" s="21">
        <v>1</v>
      </c>
      <c r="H80" s="21">
        <v>1.3125646681026307E-3</v>
      </c>
      <c r="I80" s="21">
        <v>4.0678962990110687E-2</v>
      </c>
      <c r="J80" s="21">
        <v>1.2557748860978456E-7</v>
      </c>
      <c r="K80" s="21">
        <v>5.0555121123974213E-5</v>
      </c>
      <c r="L80" s="21">
        <v>8.4699218321936237E-5</v>
      </c>
      <c r="M80" s="21">
        <v>0</v>
      </c>
      <c r="N80" s="21">
        <v>0</v>
      </c>
      <c r="O80" s="21">
        <v>0.10931442586278364</v>
      </c>
    </row>
    <row r="81" spans="2:19">
      <c r="B81" s="20" t="s">
        <v>11</v>
      </c>
      <c r="C81" s="9">
        <v>5</v>
      </c>
      <c r="D81" s="21">
        <v>1.6040483426928465E-4</v>
      </c>
      <c r="E81" s="21">
        <v>0.13670328558615519</v>
      </c>
      <c r="F81" s="21">
        <v>2.486274931173912E-3</v>
      </c>
      <c r="G81" s="21">
        <v>0</v>
      </c>
      <c r="H81" s="21">
        <v>1.0005444876416185</v>
      </c>
      <c r="I81" s="21">
        <v>8.8433521282258003E-3</v>
      </c>
      <c r="J81" s="21">
        <v>9.5725465612315016E-5</v>
      </c>
      <c r="K81" s="21">
        <v>3.8537261433195635E-2</v>
      </c>
      <c r="L81" s="21">
        <v>6.4564693884431867E-2</v>
      </c>
      <c r="M81" s="21">
        <v>0</v>
      </c>
      <c r="N81" s="21">
        <v>0</v>
      </c>
      <c r="O81" s="21">
        <v>0.14893760191524916</v>
      </c>
    </row>
    <row r="82" spans="2:19">
      <c r="B82" s="20" t="s">
        <v>12</v>
      </c>
      <c r="C82" s="9">
        <v>6</v>
      </c>
      <c r="D82" s="21">
        <v>5.1851406280999204E-6</v>
      </c>
      <c r="E82" s="21">
        <v>3.6744318929270915E-2</v>
      </c>
      <c r="F82" s="21">
        <v>8.0369679735548775E-5</v>
      </c>
      <c r="G82" s="21">
        <v>0</v>
      </c>
      <c r="H82" s="21">
        <v>3.2342939642221236E-2</v>
      </c>
      <c r="I82" s="21">
        <v>1.0023713700896506</v>
      </c>
      <c r="J82" s="21">
        <v>3.0943581167693072E-6</v>
      </c>
      <c r="K82" s="21">
        <v>1.2457300359010057E-3</v>
      </c>
      <c r="L82" s="21">
        <v>2.0870756104456596E-3</v>
      </c>
      <c r="M82" s="21">
        <v>0</v>
      </c>
      <c r="N82" s="21">
        <v>0</v>
      </c>
      <c r="O82" s="21">
        <v>0.1038759808752583</v>
      </c>
    </row>
    <row r="83" spans="2:19">
      <c r="B83" s="20" t="s">
        <v>4</v>
      </c>
      <c r="C83" s="9">
        <v>7</v>
      </c>
      <c r="D83" s="21">
        <v>1.5273306602945255E-4</v>
      </c>
      <c r="E83" s="21">
        <v>0.10849275391728509</v>
      </c>
      <c r="F83" s="21">
        <v>2.3673625234565147E-3</v>
      </c>
      <c r="G83" s="21">
        <v>0</v>
      </c>
      <c r="H83" s="21">
        <v>3.3771989634541866E-2</v>
      </c>
      <c r="I83" s="21">
        <v>3.9280244750032119E-2</v>
      </c>
      <c r="J83" s="21">
        <v>1.000091147152308</v>
      </c>
      <c r="K83" s="21">
        <v>3.6694119113575972E-2</v>
      </c>
      <c r="L83" s="21">
        <v>3.4449696533982284E-2</v>
      </c>
      <c r="M83" s="21">
        <v>0</v>
      </c>
      <c r="N83" s="21">
        <v>0</v>
      </c>
      <c r="O83" s="21">
        <v>8.6732931165004051E-2</v>
      </c>
    </row>
    <row r="84" spans="2:19">
      <c r="B84" s="20" t="s">
        <v>5</v>
      </c>
      <c r="C84" s="9">
        <v>8</v>
      </c>
      <c r="D84" s="21">
        <v>4.1650512312798411E-3</v>
      </c>
      <c r="E84" s="21">
        <v>0.13711247822752642</v>
      </c>
      <c r="F84" s="21">
        <v>6.4558294084837542E-2</v>
      </c>
      <c r="G84" s="21">
        <v>0</v>
      </c>
      <c r="H84" s="21">
        <v>7.0361033492688857E-3</v>
      </c>
      <c r="I84" s="21">
        <v>9.4635727893486125E-3</v>
      </c>
      <c r="J84" s="21">
        <v>2.4855950896347434E-3</v>
      </c>
      <c r="K84" s="21">
        <v>1.0006535583149818</v>
      </c>
      <c r="L84" s="21">
        <v>8.0283562099136131E-4</v>
      </c>
      <c r="M84" s="21">
        <v>0</v>
      </c>
      <c r="N84" s="21">
        <v>0</v>
      </c>
      <c r="O84" s="21">
        <v>0.11231329684099607</v>
      </c>
    </row>
    <row r="85" spans="2:19">
      <c r="B85" s="20" t="s">
        <v>6</v>
      </c>
      <c r="C85" s="9">
        <v>9</v>
      </c>
      <c r="D85" s="21">
        <v>4.0308026513036568E-4</v>
      </c>
      <c r="E85" s="21">
        <v>4.5603485029155566E-2</v>
      </c>
      <c r="F85" s="21">
        <v>6.2477441095206681E-3</v>
      </c>
      <c r="G85" s="21">
        <v>0</v>
      </c>
      <c r="H85" s="21">
        <v>7.4822423596924948E-4</v>
      </c>
      <c r="I85" s="21">
        <v>3.0019302909351951E-3</v>
      </c>
      <c r="J85" s="21">
        <v>2.4054790015844401E-4</v>
      </c>
      <c r="K85" s="21">
        <v>9.6840033697570355E-2</v>
      </c>
      <c r="L85" s="21">
        <v>1.000082037319431</v>
      </c>
      <c r="M85" s="21">
        <v>0</v>
      </c>
      <c r="N85" s="21">
        <v>0</v>
      </c>
      <c r="O85" s="21">
        <v>0.10994057083034667</v>
      </c>
    </row>
    <row r="86" spans="2:19">
      <c r="B86" s="20" t="s">
        <v>7</v>
      </c>
      <c r="C86" s="9">
        <v>10</v>
      </c>
      <c r="D86" s="21">
        <v>9.907985274416678E-2</v>
      </c>
      <c r="E86" s="21">
        <v>0.16042131817567426</v>
      </c>
      <c r="F86" s="21">
        <v>3.5737717534585219E-2</v>
      </c>
      <c r="G86" s="21">
        <v>9.6774193548387094E-2</v>
      </c>
      <c r="H86" s="21">
        <v>0.1495943859355294</v>
      </c>
      <c r="I86" s="21">
        <v>0.15771592168879872</v>
      </c>
      <c r="J86" s="21">
        <v>7.5257331476357589E-2</v>
      </c>
      <c r="K86" s="21">
        <v>5.3934621786070849E-2</v>
      </c>
      <c r="L86" s="21">
        <v>8.2987284155991922E-2</v>
      </c>
      <c r="M86" s="21">
        <v>1</v>
      </c>
      <c r="N86" s="21">
        <v>0</v>
      </c>
      <c r="O86" s="21">
        <v>0.14879631935114829</v>
      </c>
    </row>
    <row r="87" spans="2:19">
      <c r="B87" s="20" t="s">
        <v>8</v>
      </c>
      <c r="C87" s="9">
        <v>11</v>
      </c>
      <c r="D87" s="21">
        <v>7.6779470199364305E-2</v>
      </c>
      <c r="E87" s="21">
        <v>0.21180920658011682</v>
      </c>
      <c r="F87" s="21">
        <v>4.4920497767566209E-2</v>
      </c>
      <c r="G87" s="21">
        <v>0.13839750260145681</v>
      </c>
      <c r="H87" s="21">
        <v>0.12704528175612742</v>
      </c>
      <c r="I87" s="21">
        <v>0.13882617584682208</v>
      </c>
      <c r="J87" s="21">
        <v>4.7380880498788164E-2</v>
      </c>
      <c r="K87" s="21">
        <v>0.1478806186230828</v>
      </c>
      <c r="L87" s="21">
        <v>5.3179960371178898E-2</v>
      </c>
      <c r="M87" s="21">
        <v>9.6774193548387094E-2</v>
      </c>
      <c r="N87" s="21">
        <v>1</v>
      </c>
      <c r="O87" s="21">
        <v>0.22500457634644971</v>
      </c>
    </row>
    <row r="88" spans="2:19">
      <c r="B88" s="20" t="s">
        <v>9</v>
      </c>
      <c r="C88" s="9">
        <v>12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1</v>
      </c>
    </row>
    <row r="92" spans="2:19" ht="103">
      <c r="B92" s="54" t="s">
        <v>100</v>
      </c>
      <c r="D92" s="13" t="s">
        <v>1</v>
      </c>
      <c r="E92" s="13" t="s">
        <v>2</v>
      </c>
      <c r="F92" s="13" t="s">
        <v>3</v>
      </c>
      <c r="G92" s="13" t="s">
        <v>10</v>
      </c>
      <c r="H92" s="13" t="s">
        <v>11</v>
      </c>
      <c r="I92" s="13" t="s">
        <v>12</v>
      </c>
      <c r="J92" s="13" t="s">
        <v>4</v>
      </c>
      <c r="K92" s="13" t="s">
        <v>5</v>
      </c>
      <c r="L92" s="13" t="s">
        <v>6</v>
      </c>
      <c r="M92" s="13" t="s">
        <v>7</v>
      </c>
      <c r="N92" s="13" t="s">
        <v>8</v>
      </c>
      <c r="O92" s="13" t="s">
        <v>9</v>
      </c>
      <c r="P92" s="56" t="s">
        <v>101</v>
      </c>
      <c r="Q92" s="56" t="s">
        <v>102</v>
      </c>
      <c r="R92" s="59" t="s">
        <v>103</v>
      </c>
      <c r="S92" s="59" t="s">
        <v>104</v>
      </c>
    </row>
    <row r="93" spans="2:19">
      <c r="C93" s="4"/>
      <c r="D93" s="9">
        <v>1</v>
      </c>
      <c r="E93" s="9">
        <v>2</v>
      </c>
      <c r="F93" s="9">
        <v>3</v>
      </c>
      <c r="G93" s="9">
        <v>4</v>
      </c>
      <c r="H93" s="9">
        <v>5</v>
      </c>
      <c r="I93" s="9">
        <v>6</v>
      </c>
      <c r="J93" s="9">
        <v>7</v>
      </c>
      <c r="K93" s="9">
        <v>8</v>
      </c>
      <c r="L93" s="9">
        <v>9</v>
      </c>
      <c r="M93" s="9">
        <v>10</v>
      </c>
      <c r="N93" s="9">
        <v>11</v>
      </c>
      <c r="O93" s="9">
        <v>12</v>
      </c>
      <c r="R93" s="60"/>
      <c r="S93" s="60"/>
    </row>
    <row r="94" spans="2:19">
      <c r="B94" s="20" t="s">
        <v>1</v>
      </c>
      <c r="C94" s="9">
        <v>1</v>
      </c>
      <c r="D94" s="21" cm="1">
        <f t="array" ref="D94:O105">MMULT(D26:O37,D77:O88)</f>
        <v>3.2571246150427905E-4</v>
      </c>
      <c r="E94" s="21">
        <v>0.10492704913494372</v>
      </c>
      <c r="F94" s="21">
        <v>5.0485431533163257E-3</v>
      </c>
      <c r="G94" s="21">
        <v>0</v>
      </c>
      <c r="H94" s="21">
        <v>0.10490526219684911</v>
      </c>
      <c r="I94" s="21">
        <v>0.13897179091793013</v>
      </c>
      <c r="J94" s="21">
        <v>9.6968570339929977E-2</v>
      </c>
      <c r="K94" s="21">
        <v>7.8252418876403038E-2</v>
      </c>
      <c r="L94" s="21">
        <v>7.4433242569568944E-2</v>
      </c>
      <c r="M94" s="21">
        <v>0</v>
      </c>
      <c r="N94" s="21">
        <v>0</v>
      </c>
      <c r="O94" s="21">
        <v>0.15191802801677404</v>
      </c>
      <c r="P94">
        <f>SUM(D94:O94)</f>
        <v>0.75575061766721952</v>
      </c>
      <c r="Q94">
        <v>0.24562965992915117</v>
      </c>
      <c r="R94" s="57">
        <f>P94+Q94</f>
        <v>1.0013802775963707</v>
      </c>
      <c r="S94" s="57">
        <f>P94-Q94</f>
        <v>0.51012095773806831</v>
      </c>
    </row>
    <row r="95" spans="2:19">
      <c r="B95" s="20" t="s">
        <v>2</v>
      </c>
      <c r="C95" s="9">
        <v>2</v>
      </c>
      <c r="D95" s="21">
        <v>3.3452520181289808E-7</v>
      </c>
      <c r="E95" s="21">
        <v>2.3706012212432849E-3</v>
      </c>
      <c r="F95" s="21">
        <v>5.1851406280999212E-6</v>
      </c>
      <c r="G95" s="21">
        <v>0</v>
      </c>
      <c r="H95" s="21">
        <v>2.0866412672400796E-3</v>
      </c>
      <c r="I95" s="21">
        <v>6.4669120650945197E-2</v>
      </c>
      <c r="J95" s="21">
        <v>1.9963600753350368E-7</v>
      </c>
      <c r="K95" s="21">
        <v>8.0369679735548747E-5</v>
      </c>
      <c r="L95" s="21">
        <v>1.3465003938359095E-4</v>
      </c>
      <c r="M95" s="21">
        <v>0</v>
      </c>
      <c r="N95" s="21">
        <v>0</v>
      </c>
      <c r="O95" s="21">
        <v>7.1217805217758598E-2</v>
      </c>
      <c r="P95">
        <f t="shared" ref="P95:P105" si="26">SUM(D95:O95)</f>
        <v>0.14056490737814376</v>
      </c>
      <c r="Q95">
        <v>1.1952101495892296</v>
      </c>
      <c r="R95" s="57">
        <f t="shared" ref="R95:R105" si="27">P95+Q95</f>
        <v>1.3357750569673734</v>
      </c>
      <c r="S95" s="58">
        <f t="shared" ref="S95:S105" si="28">P95-Q95</f>
        <v>-1.0546452422110857</v>
      </c>
    </row>
    <row r="96" spans="2:19">
      <c r="B96" s="20" t="s">
        <v>3</v>
      </c>
      <c r="C96" s="9">
        <v>3</v>
      </c>
      <c r="D96" s="21">
        <v>6.4557625034433908E-2</v>
      </c>
      <c r="E96" s="21">
        <v>0.12050221008417315</v>
      </c>
      <c r="F96" s="21">
        <v>6.4318803372565155E-4</v>
      </c>
      <c r="G96" s="21">
        <v>0</v>
      </c>
      <c r="H96" s="21">
        <v>0.10488631937918762</v>
      </c>
      <c r="I96" s="21">
        <v>1.7347136933013076E-2</v>
      </c>
      <c r="J96" s="21">
        <v>3.8526324617323464E-2</v>
      </c>
      <c r="K96" s="21">
        <v>9.9694145227475998E-3</v>
      </c>
      <c r="L96" s="21">
        <v>1.2174652046598922E-2</v>
      </c>
      <c r="M96" s="21">
        <v>0</v>
      </c>
      <c r="N96" s="21">
        <v>0</v>
      </c>
      <c r="O96" s="21">
        <v>9.8420490599921778E-2</v>
      </c>
      <c r="P96">
        <f t="shared" si="26"/>
        <v>0.46702736125112521</v>
      </c>
      <c r="Q96">
        <v>0.16209843857926337</v>
      </c>
      <c r="R96" s="57">
        <f t="shared" si="27"/>
        <v>0.62912579983038852</v>
      </c>
      <c r="S96" s="57">
        <f t="shared" si="28"/>
        <v>0.30492892267186184</v>
      </c>
    </row>
    <row r="97" spans="2:19">
      <c r="B97" s="20" t="s">
        <v>10</v>
      </c>
      <c r="C97" s="9">
        <v>4</v>
      </c>
      <c r="D97" s="21">
        <v>2.1042714307585524E-7</v>
      </c>
      <c r="E97" s="21">
        <v>0.13052344270368527</v>
      </c>
      <c r="F97" s="21">
        <v>3.2616207176757569E-6</v>
      </c>
      <c r="G97" s="21">
        <v>0</v>
      </c>
      <c r="H97" s="21">
        <v>1.3125646681026307E-3</v>
      </c>
      <c r="I97" s="21">
        <v>4.0678962990110687E-2</v>
      </c>
      <c r="J97" s="21">
        <v>1.2557748860978456E-7</v>
      </c>
      <c r="K97" s="21">
        <v>5.0555121123974213E-5</v>
      </c>
      <c r="L97" s="21">
        <v>8.4699218321936237E-5</v>
      </c>
      <c r="M97" s="21">
        <v>0</v>
      </c>
      <c r="N97" s="21">
        <v>0</v>
      </c>
      <c r="O97" s="21">
        <v>0.10931442586278363</v>
      </c>
      <c r="P97">
        <f t="shared" si="26"/>
        <v>0.28196824818947747</v>
      </c>
      <c r="Q97">
        <v>0.2351716961498439</v>
      </c>
      <c r="R97" s="57">
        <f t="shared" si="27"/>
        <v>0.51713994433932142</v>
      </c>
      <c r="S97" s="57">
        <f t="shared" si="28"/>
        <v>4.6796552039633565E-2</v>
      </c>
    </row>
    <row r="98" spans="2:19">
      <c r="B98" s="20" t="s">
        <v>11</v>
      </c>
      <c r="C98" s="9">
        <v>5</v>
      </c>
      <c r="D98" s="21">
        <v>1.6040483426928465E-4</v>
      </c>
      <c r="E98" s="21">
        <v>0.13670328558615516</v>
      </c>
      <c r="F98" s="21">
        <v>2.486274931173912E-3</v>
      </c>
      <c r="G98" s="21">
        <v>0</v>
      </c>
      <c r="H98" s="21">
        <v>5.4448764161831292E-4</v>
      </c>
      <c r="I98" s="21">
        <v>8.8433521282258003E-3</v>
      </c>
      <c r="J98" s="21">
        <v>9.5725465612315016E-5</v>
      </c>
      <c r="K98" s="21">
        <v>3.8537261433195635E-2</v>
      </c>
      <c r="L98" s="21">
        <v>6.4564693884431867E-2</v>
      </c>
      <c r="M98" s="21">
        <v>0</v>
      </c>
      <c r="N98" s="21">
        <v>0</v>
      </c>
      <c r="O98" s="21">
        <v>0.14893760191524916</v>
      </c>
      <c r="P98">
        <f t="shared" si="26"/>
        <v>0.40087308781993147</v>
      </c>
      <c r="Q98">
        <v>0.56427419970665593</v>
      </c>
      <c r="R98" s="57">
        <f t="shared" si="27"/>
        <v>0.96514728752658741</v>
      </c>
      <c r="S98" s="58">
        <f t="shared" si="28"/>
        <v>-0.16340111188672446</v>
      </c>
    </row>
    <row r="99" spans="2:19">
      <c r="B99" s="20" t="s">
        <v>12</v>
      </c>
      <c r="C99" s="9">
        <v>6</v>
      </c>
      <c r="D99" s="21">
        <v>5.1851406280999212E-6</v>
      </c>
      <c r="E99" s="21">
        <v>3.6744318929270915E-2</v>
      </c>
      <c r="F99" s="21">
        <v>8.0369679735548761E-5</v>
      </c>
      <c r="G99" s="21">
        <v>0</v>
      </c>
      <c r="H99" s="21">
        <v>3.2342939642221243E-2</v>
      </c>
      <c r="I99" s="21">
        <v>2.3713700896506773E-3</v>
      </c>
      <c r="J99" s="21">
        <v>3.0943581167693072E-6</v>
      </c>
      <c r="K99" s="21">
        <v>1.2457300359010059E-3</v>
      </c>
      <c r="L99" s="21">
        <v>2.08707561044566E-3</v>
      </c>
      <c r="M99" s="21">
        <v>0</v>
      </c>
      <c r="N99" s="21">
        <v>0</v>
      </c>
      <c r="O99" s="21">
        <v>0.10387598087525832</v>
      </c>
      <c r="P99">
        <f t="shared" si="26"/>
        <v>0.17875606436122821</v>
      </c>
      <c r="Q99">
        <v>0.62116957907581227</v>
      </c>
      <c r="R99" s="57">
        <f t="shared" si="27"/>
        <v>0.79992564343704053</v>
      </c>
      <c r="S99" s="58">
        <f t="shared" si="28"/>
        <v>-0.44241351471458407</v>
      </c>
    </row>
    <row r="100" spans="2:19">
      <c r="B100" s="20" t="s">
        <v>4</v>
      </c>
      <c r="C100" s="9">
        <v>7</v>
      </c>
      <c r="D100" s="21">
        <v>1.5273306602945258E-4</v>
      </c>
      <c r="E100" s="21">
        <v>0.10849275391728508</v>
      </c>
      <c r="F100" s="21">
        <v>2.3673625234565151E-3</v>
      </c>
      <c r="G100" s="21">
        <v>0</v>
      </c>
      <c r="H100" s="21">
        <v>3.3771989634541873E-2</v>
      </c>
      <c r="I100" s="21">
        <v>3.9280244750032119E-2</v>
      </c>
      <c r="J100" s="21">
        <v>9.1147152307899094E-5</v>
      </c>
      <c r="K100" s="21">
        <v>3.6694119113575979E-2</v>
      </c>
      <c r="L100" s="21">
        <v>3.4449696533982284E-2</v>
      </c>
      <c r="M100" s="21">
        <v>0</v>
      </c>
      <c r="N100" s="21">
        <v>0</v>
      </c>
      <c r="O100" s="21">
        <v>8.6732931165004065E-2</v>
      </c>
      <c r="P100">
        <f t="shared" si="26"/>
        <v>0.34203297785621528</v>
      </c>
      <c r="Q100">
        <v>0.26104954211172554</v>
      </c>
      <c r="R100" s="57">
        <f t="shared" si="27"/>
        <v>0.60308251996794082</v>
      </c>
      <c r="S100" s="57">
        <f t="shared" si="28"/>
        <v>8.098343574448974E-2</v>
      </c>
    </row>
    <row r="101" spans="2:19">
      <c r="B101" s="20" t="s">
        <v>5</v>
      </c>
      <c r="C101" s="9">
        <v>8</v>
      </c>
      <c r="D101" s="21">
        <v>4.1650512312798411E-3</v>
      </c>
      <c r="E101" s="21">
        <v>0.13711247822752642</v>
      </c>
      <c r="F101" s="21">
        <v>6.4558294084837542E-2</v>
      </c>
      <c r="G101" s="21">
        <v>0</v>
      </c>
      <c r="H101" s="21">
        <v>7.0361033492688883E-3</v>
      </c>
      <c r="I101" s="21">
        <v>9.4635727893486107E-3</v>
      </c>
      <c r="J101" s="21">
        <v>2.4855950896347438E-3</v>
      </c>
      <c r="K101" s="21">
        <v>6.535583149818513E-4</v>
      </c>
      <c r="L101" s="21">
        <v>8.0283562099136142E-4</v>
      </c>
      <c r="M101" s="21">
        <v>0</v>
      </c>
      <c r="N101" s="21">
        <v>0</v>
      </c>
      <c r="O101" s="21">
        <v>0.11231329684099606</v>
      </c>
      <c r="P101">
        <f t="shared" si="26"/>
        <v>0.33859078554886535</v>
      </c>
      <c r="Q101">
        <v>0.4641387012043886</v>
      </c>
      <c r="R101" s="57">
        <f t="shared" si="27"/>
        <v>0.80272948675325395</v>
      </c>
      <c r="S101" s="58">
        <f t="shared" si="28"/>
        <v>-0.12554791565552326</v>
      </c>
    </row>
    <row r="102" spans="2:19">
      <c r="B102" s="20" t="s">
        <v>6</v>
      </c>
      <c r="C102" s="9">
        <v>9</v>
      </c>
      <c r="D102" s="21">
        <v>4.0308026513036563E-4</v>
      </c>
      <c r="E102" s="21">
        <v>4.5603485029155559E-2</v>
      </c>
      <c r="F102" s="21">
        <v>6.247744109520669E-3</v>
      </c>
      <c r="G102" s="21">
        <v>0</v>
      </c>
      <c r="H102" s="21">
        <v>7.4822423596924959E-4</v>
      </c>
      <c r="I102" s="21">
        <v>3.0019302909351946E-3</v>
      </c>
      <c r="J102" s="21">
        <v>2.4054790015844399E-4</v>
      </c>
      <c r="K102" s="21">
        <v>9.6840033697570355E-2</v>
      </c>
      <c r="L102" s="21">
        <v>8.2037319430892735E-5</v>
      </c>
      <c r="M102" s="21">
        <v>0</v>
      </c>
      <c r="N102" s="21">
        <v>0</v>
      </c>
      <c r="O102" s="21">
        <v>0.10994057083034667</v>
      </c>
      <c r="P102">
        <f t="shared" si="26"/>
        <v>0.26310765367821742</v>
      </c>
      <c r="Q102">
        <v>0.32498082737032635</v>
      </c>
      <c r="R102" s="57">
        <f t="shared" si="27"/>
        <v>0.58808848104854383</v>
      </c>
      <c r="S102" s="58">
        <f t="shared" si="28"/>
        <v>-6.1873173692108929E-2</v>
      </c>
    </row>
    <row r="103" spans="2:19">
      <c r="B103" s="20" t="s">
        <v>7</v>
      </c>
      <c r="C103" s="9">
        <v>10</v>
      </c>
      <c r="D103" s="21">
        <v>9.9079852744166752E-2</v>
      </c>
      <c r="E103" s="21">
        <v>0.16042131817567426</v>
      </c>
      <c r="F103" s="21">
        <v>3.5737717534585225E-2</v>
      </c>
      <c r="G103" s="21">
        <v>9.6774193548387094E-2</v>
      </c>
      <c r="H103" s="21">
        <v>0.14959438593552946</v>
      </c>
      <c r="I103" s="21">
        <v>0.15771592168879872</v>
      </c>
      <c r="J103" s="21">
        <v>7.5257331476357589E-2</v>
      </c>
      <c r="K103" s="21">
        <v>5.3934621786070849E-2</v>
      </c>
      <c r="L103" s="21">
        <v>8.298728415599195E-2</v>
      </c>
      <c r="M103" s="21">
        <v>0</v>
      </c>
      <c r="N103" s="21">
        <v>0</v>
      </c>
      <c r="O103" s="21">
        <v>0.14879631935114832</v>
      </c>
      <c r="P103">
        <f t="shared" si="26"/>
        <v>1.0602989463967103</v>
      </c>
      <c r="Q103">
        <v>9.6774193548387094E-2</v>
      </c>
      <c r="R103" s="57">
        <f t="shared" si="27"/>
        <v>1.1570731399450973</v>
      </c>
      <c r="S103" s="57">
        <f t="shared" si="28"/>
        <v>0.96352475284832317</v>
      </c>
    </row>
    <row r="104" spans="2:19">
      <c r="B104" s="20" t="s">
        <v>8</v>
      </c>
      <c r="C104" s="9">
        <v>11</v>
      </c>
      <c r="D104" s="21">
        <v>7.6779470199364319E-2</v>
      </c>
      <c r="E104" s="21">
        <v>0.21180920658011684</v>
      </c>
      <c r="F104" s="21">
        <v>4.4920497767566223E-2</v>
      </c>
      <c r="G104" s="21">
        <v>0.13839750260145681</v>
      </c>
      <c r="H104" s="21">
        <v>0.12704528175612748</v>
      </c>
      <c r="I104" s="21">
        <v>0.13882617584682208</v>
      </c>
      <c r="J104" s="21">
        <v>4.7380880498788171E-2</v>
      </c>
      <c r="K104" s="21">
        <v>0.14788061862308283</v>
      </c>
      <c r="L104" s="21">
        <v>5.3179960371178905E-2</v>
      </c>
      <c r="M104" s="21">
        <v>9.6774193548387094E-2</v>
      </c>
      <c r="N104" s="21">
        <v>0</v>
      </c>
      <c r="O104" s="21">
        <v>0.22500457634644971</v>
      </c>
      <c r="P104">
        <f t="shared" si="26"/>
        <v>1.3079983641393405</v>
      </c>
      <c r="Q104">
        <v>0</v>
      </c>
      <c r="R104" s="57">
        <f t="shared" si="27"/>
        <v>1.3079983641393405</v>
      </c>
      <c r="S104" s="57">
        <f t="shared" si="28"/>
        <v>1.3079983641393405</v>
      </c>
    </row>
    <row r="105" spans="2:19">
      <c r="B105" s="20" t="s">
        <v>9</v>
      </c>
      <c r="C105" s="9">
        <v>12</v>
      </c>
      <c r="D105" s="21">
        <v>0</v>
      </c>
      <c r="E105" s="21">
        <v>0</v>
      </c>
      <c r="F105" s="21">
        <v>0</v>
      </c>
      <c r="G105" s="21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>
        <f t="shared" si="26"/>
        <v>0</v>
      </c>
      <c r="Q105">
        <v>1.3664720270216903</v>
      </c>
      <c r="R105" s="57">
        <f t="shared" si="27"/>
        <v>1.3664720270216903</v>
      </c>
      <c r="S105" s="58">
        <f t="shared" si="28"/>
        <v>-1.3664720270216903</v>
      </c>
    </row>
    <row r="106" spans="2:19">
      <c r="B106" s="55" t="s">
        <v>102</v>
      </c>
      <c r="D106" s="4">
        <f>SUM(D94:D105)</f>
        <v>0.24562965992915117</v>
      </c>
      <c r="E106" s="4">
        <f t="shared" ref="E106:O106" si="29">SUM(E94:E105)</f>
        <v>1.1952101495892296</v>
      </c>
      <c r="F106" s="4">
        <f t="shared" si="29"/>
        <v>0.16209843857926337</v>
      </c>
      <c r="G106" s="4">
        <f t="shared" si="29"/>
        <v>0.2351716961498439</v>
      </c>
      <c r="H106" s="4">
        <f t="shared" si="29"/>
        <v>0.56427419970665593</v>
      </c>
      <c r="I106" s="4">
        <f t="shared" si="29"/>
        <v>0.62116957907581227</v>
      </c>
      <c r="J106" s="4">
        <f t="shared" si="29"/>
        <v>0.26104954211172554</v>
      </c>
      <c r="K106" s="4">
        <f t="shared" si="29"/>
        <v>0.4641387012043886</v>
      </c>
      <c r="L106" s="4">
        <f t="shared" si="29"/>
        <v>0.32498082737032635</v>
      </c>
      <c r="M106" s="4">
        <f t="shared" si="29"/>
        <v>9.6774193548387094E-2</v>
      </c>
      <c r="N106" s="4">
        <f t="shared" si="29"/>
        <v>0</v>
      </c>
      <c r="O106" s="4">
        <f t="shared" si="29"/>
        <v>1.3664720270216903</v>
      </c>
    </row>
    <row r="109" spans="2:19" ht="17" thickBot="1"/>
    <row r="110" spans="2:19">
      <c r="B110" s="43"/>
      <c r="C110" s="61" t="s">
        <v>103</v>
      </c>
      <c r="D110" s="62" t="s">
        <v>104</v>
      </c>
    </row>
    <row r="111" spans="2:19">
      <c r="B111" s="63" t="s">
        <v>1</v>
      </c>
      <c r="C111" s="64">
        <v>1.0013802775963707</v>
      </c>
      <c r="D111" s="65">
        <v>0.51012095773806831</v>
      </c>
    </row>
    <row r="112" spans="2:19">
      <c r="B112" s="63" t="s">
        <v>2</v>
      </c>
      <c r="C112" s="64">
        <v>1.3357750569673734</v>
      </c>
      <c r="D112" s="66">
        <v>-1.0546452422110857</v>
      </c>
    </row>
    <row r="113" spans="2:4">
      <c r="B113" s="63" t="s">
        <v>3</v>
      </c>
      <c r="C113" s="64">
        <v>0.62912579983038852</v>
      </c>
      <c r="D113" s="65">
        <v>0.30492892267186184</v>
      </c>
    </row>
    <row r="114" spans="2:4">
      <c r="B114" s="63" t="s">
        <v>10</v>
      </c>
      <c r="C114" s="64">
        <v>0.51713994433932142</v>
      </c>
      <c r="D114" s="65">
        <v>4.6796552039633565E-2</v>
      </c>
    </row>
    <row r="115" spans="2:4">
      <c r="B115" s="63" t="s">
        <v>11</v>
      </c>
      <c r="C115" s="64">
        <v>0.96514728752658741</v>
      </c>
      <c r="D115" s="66">
        <v>-0.16340111188672446</v>
      </c>
    </row>
    <row r="116" spans="2:4">
      <c r="B116" s="63" t="s">
        <v>12</v>
      </c>
      <c r="C116" s="64">
        <v>0.79992564343704053</v>
      </c>
      <c r="D116" s="66">
        <v>-0.44241351471458407</v>
      </c>
    </row>
    <row r="117" spans="2:4">
      <c r="B117" s="63" t="s">
        <v>4</v>
      </c>
      <c r="C117" s="64">
        <v>0.60308251996794082</v>
      </c>
      <c r="D117" s="65">
        <v>8.098343574448974E-2</v>
      </c>
    </row>
    <row r="118" spans="2:4">
      <c r="B118" s="63" t="s">
        <v>5</v>
      </c>
      <c r="C118" s="64">
        <v>0.80272948675325395</v>
      </c>
      <c r="D118" s="66">
        <v>-0.12554791565552326</v>
      </c>
    </row>
    <row r="119" spans="2:4">
      <c r="B119" s="63" t="s">
        <v>6</v>
      </c>
      <c r="C119" s="64">
        <v>0.58808848104854383</v>
      </c>
      <c r="D119" s="66">
        <v>-6.1873173692108929E-2</v>
      </c>
    </row>
    <row r="120" spans="2:4">
      <c r="B120" s="63" t="s">
        <v>7</v>
      </c>
      <c r="C120" s="64">
        <v>1.1570731399450973</v>
      </c>
      <c r="D120" s="65">
        <v>0.96352475284832317</v>
      </c>
    </row>
    <row r="121" spans="2:4">
      <c r="B121" s="63" t="s">
        <v>8</v>
      </c>
      <c r="C121" s="64">
        <v>1.3079983641393405</v>
      </c>
      <c r="D121" s="65">
        <v>1.3079983641393405</v>
      </c>
    </row>
    <row r="122" spans="2:4" ht="17" thickBot="1">
      <c r="B122" s="67" t="s">
        <v>9</v>
      </c>
      <c r="C122" s="68">
        <v>1.3664720270216903</v>
      </c>
      <c r="D122" s="69">
        <v>-1.3664720270216903</v>
      </c>
    </row>
    <row r="125" spans="2:4" ht="24">
      <c r="B125" s="70" t="s">
        <v>105</v>
      </c>
    </row>
  </sheetData>
  <mergeCells count="1">
    <mergeCell ref="B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ISM</vt:lpstr>
      <vt:lpstr>DEMATEL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Nandi</dc:creator>
  <cp:lastModifiedBy>Supriya Nandi</cp:lastModifiedBy>
  <dcterms:created xsi:type="dcterms:W3CDTF">2024-12-08T07:50:22Z</dcterms:created>
  <dcterms:modified xsi:type="dcterms:W3CDTF">2024-12-09T12:34:34Z</dcterms:modified>
</cp:coreProperties>
</file>